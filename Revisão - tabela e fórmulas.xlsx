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meli\OneDrive\CURSOS\"/>
    </mc:Choice>
  </mc:AlternateContent>
  <xr:revisionPtr revIDLastSave="0" documentId="13_ncr:1_{7DB41B4F-9ABF-4BB6-991F-C960858B472A}" xr6:coauthVersionLast="47" xr6:coauthVersionMax="47" xr10:uidLastSave="{00000000-0000-0000-0000-000000000000}"/>
  <bookViews>
    <workbookView xWindow="-108" yWindow="-108" windowWidth="23256" windowHeight="12456" firstSheet="1" activeTab="6" xr2:uid="{F5BEF62B-0813-4284-9606-41D23B7528C8}"/>
  </bookViews>
  <sheets>
    <sheet name="Registro de Vendas" sheetId="12" r:id="rId1"/>
    <sheet name="Tabela_produtos" sheetId="2" r:id="rId2"/>
    <sheet name="Dados para gráficos" sheetId="14" r:id="rId3"/>
    <sheet name="Planilha" sheetId="1" r:id="rId4"/>
    <sheet name="Meu Gráfico" sheetId="8" r:id="rId5"/>
    <sheet name="Painel" sheetId="4" r:id="rId6"/>
    <sheet name="Dashboard" sheetId="10" r:id="rId7"/>
  </sheets>
  <definedNames>
    <definedName name="_xlnm._FilterDatabase" localSheetId="3" hidden="1">Planilha!$B$3:$H$16</definedName>
    <definedName name="Int_Nome_Produtos">#REF!</definedName>
    <definedName name="Int_Quantidad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2" l="1"/>
  <c r="G3" i="12" s="1"/>
  <c r="B4" i="14" s="1"/>
  <c r="B3" i="14"/>
  <c r="B2" i="14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L4" i="14" s="1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L7" i="14" s="1"/>
  <c r="G52" i="12"/>
  <c r="G53" i="12"/>
  <c r="G54" i="12"/>
  <c r="G55" i="12"/>
  <c r="G56" i="12"/>
  <c r="G57" i="12"/>
  <c r="G58" i="12"/>
  <c r="G59" i="12"/>
  <c r="G60" i="12"/>
  <c r="G61" i="12"/>
  <c r="G62" i="12"/>
  <c r="G6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L6" i="14"/>
  <c r="L2" i="14"/>
  <c r="A4" i="12"/>
  <c r="A5" i="12"/>
  <c r="A6" i="12"/>
  <c r="A7" i="12"/>
  <c r="A8" i="12"/>
  <c r="A9" i="12"/>
  <c r="A10" i="12"/>
  <c r="G3" i="14" s="1"/>
  <c r="A11" i="12"/>
  <c r="G4" i="14" s="1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3" i="12"/>
  <c r="G5" i="14" s="1"/>
  <c r="AQ4" i="10"/>
  <c r="E64" i="12"/>
  <c r="L3" i="14" l="1"/>
  <c r="BK4" i="10"/>
  <c r="G64" i="12"/>
  <c r="L5" i="14"/>
  <c r="J7" i="14" s="1"/>
  <c r="K7" i="14" s="1"/>
  <c r="F5" i="14"/>
  <c r="F2" i="14"/>
  <c r="F6" i="14"/>
  <c r="F4" i="14"/>
  <c r="F3" i="14"/>
  <c r="G2" i="14"/>
  <c r="G6" i="14"/>
  <c r="J4" i="14" l="1"/>
  <c r="K4" i="14" s="1"/>
  <c r="J5" i="14"/>
  <c r="K5" i="14" s="1"/>
  <c r="J6" i="14"/>
  <c r="K6" i="14" s="1"/>
  <c r="J2" i="14"/>
  <c r="K2" i="14" s="1"/>
  <c r="J3" i="14"/>
  <c r="K3" i="14" s="1"/>
  <c r="W4" i="10"/>
  <c r="H4" i="4" l="1"/>
  <c r="G4" i="4"/>
  <c r="F4" i="4"/>
  <c r="B4" i="4"/>
  <c r="D4" i="4"/>
  <c r="C4" i="4"/>
  <c r="E33" i="2" l="1"/>
  <c r="G33" i="2"/>
  <c r="H17" i="2"/>
  <c r="I17" i="2" s="1"/>
  <c r="H16" i="2"/>
  <c r="I16" i="2" s="1"/>
  <c r="H4" i="2"/>
  <c r="I4" i="2" s="1"/>
  <c r="H14" i="2"/>
  <c r="I14" i="2" s="1"/>
  <c r="H24" i="2"/>
  <c r="I24" i="2" s="1"/>
  <c r="H26" i="2"/>
  <c r="I26" i="2" s="1"/>
  <c r="H21" i="2"/>
  <c r="I21" i="2" s="1"/>
  <c r="H11" i="2"/>
  <c r="I11" i="2" s="1"/>
  <c r="H7" i="2"/>
  <c r="I7" i="2" s="1"/>
  <c r="H22" i="2"/>
  <c r="I22" i="2" s="1"/>
  <c r="H29" i="2"/>
  <c r="I29" i="2" s="1"/>
  <c r="H5" i="2"/>
  <c r="I5" i="2" s="1"/>
  <c r="H23" i="2"/>
  <c r="I23" i="2" s="1"/>
  <c r="H15" i="2"/>
  <c r="I15" i="2" s="1"/>
  <c r="H27" i="2"/>
  <c r="I27" i="2" s="1"/>
  <c r="H25" i="2"/>
  <c r="I25" i="2" s="1"/>
  <c r="H32" i="2"/>
  <c r="I32" i="2" s="1"/>
  <c r="H30" i="2"/>
  <c r="I30" i="2" s="1"/>
  <c r="H12" i="2"/>
  <c r="I12" i="2" s="1"/>
  <c r="H19" i="2"/>
  <c r="I19" i="2" s="1"/>
  <c r="H18" i="2"/>
  <c r="I18" i="2" s="1"/>
  <c r="H20" i="2"/>
  <c r="I20" i="2" s="1"/>
  <c r="H8" i="2"/>
  <c r="I8" i="2" s="1"/>
  <c r="H31" i="2"/>
  <c r="I31" i="2" s="1"/>
  <c r="H10" i="2"/>
  <c r="I10" i="2" s="1"/>
  <c r="H28" i="2"/>
  <c r="I28" i="2" s="1"/>
  <c r="H9" i="2"/>
  <c r="I9" i="2" s="1"/>
  <c r="H6" i="2"/>
  <c r="I6" i="2" s="1"/>
  <c r="H13" i="2"/>
  <c r="I13" i="2" s="1"/>
  <c r="H33" i="2" l="1"/>
  <c r="I33" i="2"/>
  <c r="F18" i="1"/>
  <c r="E18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6" i="1"/>
  <c r="H16" i="1"/>
  <c r="G4" i="1"/>
  <c r="H4" i="1"/>
  <c r="H18" i="1"/>
  <c r="G18" i="1"/>
  <c r="F12" i="2"/>
  <c r="F15" i="2"/>
  <c r="F11" i="2"/>
  <c r="F21" i="2"/>
  <c r="F8" i="2"/>
  <c r="F16" i="2"/>
  <c r="F26" i="2"/>
  <c r="F22" i="2"/>
  <c r="F18" i="2"/>
  <c r="F9" i="2"/>
  <c r="F28" i="2"/>
  <c r="F13" i="2"/>
  <c r="F29" i="2"/>
  <c r="F10" i="2"/>
  <c r="F17" i="2"/>
  <c r="F30" i="2"/>
  <c r="F32" i="2"/>
  <c r="F19" i="2"/>
  <c r="F7" i="2"/>
  <c r="F31" i="2"/>
  <c r="F27" i="2"/>
  <c r="F20" i="2"/>
  <c r="F6" i="2"/>
  <c r="F5" i="2"/>
  <c r="F23" i="2"/>
  <c r="F14" i="2"/>
  <c r="F25" i="2"/>
  <c r="F4" i="2"/>
  <c r="F24" i="2"/>
</calcChain>
</file>

<file path=xl/sharedStrings.xml><?xml version="1.0" encoding="utf-8"?>
<sst xmlns="http://schemas.openxmlformats.org/spreadsheetml/2006/main" count="441" uniqueCount="174">
  <si>
    <t>Preço Unitário Compra</t>
  </si>
  <si>
    <t>Preço Unitário Venda</t>
  </si>
  <si>
    <t>Notebook Ultrawide 15"</t>
  </si>
  <si>
    <t>Smartphone Alfa Pro</t>
  </si>
  <si>
    <t>Monitor Gamer 27"</t>
  </si>
  <si>
    <t>Mouse Sem Fio Erggon</t>
  </si>
  <si>
    <t>Teclado Mecânico RGB</t>
  </si>
  <si>
    <t>Fone de Ouvido Bluetooth</t>
  </si>
  <si>
    <t>Roteador Wi-Fi 6</t>
  </si>
  <si>
    <t>HD Externo 2TB</t>
  </si>
  <si>
    <t>Smartwatch Sport V2</t>
  </si>
  <si>
    <t>Caixa de Som Portátil</t>
  </si>
  <si>
    <t>Cabo HDMI 2.1 (2m)</t>
  </si>
  <si>
    <t>Placa de Vídeo RTX 4060</t>
  </si>
  <si>
    <t>Produtos</t>
  </si>
  <si>
    <t>Produtos de Tecnologia</t>
  </si>
  <si>
    <t>Total Venda</t>
  </si>
  <si>
    <t>Lucro</t>
  </si>
  <si>
    <t>Qtd em Estoque</t>
  </si>
  <si>
    <t>TOTAIS</t>
  </si>
  <si>
    <t>Situação</t>
  </si>
  <si>
    <t>ID Produto</t>
  </si>
  <si>
    <t>Nome do Produto</t>
  </si>
  <si>
    <t>Categoria</t>
  </si>
  <si>
    <t>Fornecedor</t>
  </si>
  <si>
    <t>Quantidade em Estoque</t>
  </si>
  <si>
    <t>Status Estoque</t>
  </si>
  <si>
    <t>PROD001</t>
  </si>
  <si>
    <t>Informática</t>
  </si>
  <si>
    <t>TechDistribuidora</t>
  </si>
  <si>
    <t>PROD002</t>
  </si>
  <si>
    <t>Celulares</t>
  </si>
  <si>
    <t>Global Celulares</t>
  </si>
  <si>
    <t>PROD003</t>
  </si>
  <si>
    <t>Monitores</t>
  </si>
  <si>
    <t>Vision Max</t>
  </si>
  <si>
    <t>PROD004</t>
  </si>
  <si>
    <t>Acessórios</t>
  </si>
  <si>
    <t>LogiTech Distribuição</t>
  </si>
  <si>
    <t>PROD005</t>
  </si>
  <si>
    <t>PROD006</t>
  </si>
  <si>
    <t>Áudio</t>
  </si>
  <si>
    <t>Som &amp; Cia</t>
  </si>
  <si>
    <t>PROD007</t>
  </si>
  <si>
    <t>Redes</t>
  </si>
  <si>
    <t>NetConnect</t>
  </si>
  <si>
    <t>PROD008</t>
  </si>
  <si>
    <t>PROD009</t>
  </si>
  <si>
    <t>PROD010</t>
  </si>
  <si>
    <t>PROD011</t>
  </si>
  <si>
    <t>PROD012</t>
  </si>
  <si>
    <t>PROD013</t>
  </si>
  <si>
    <t>Processador Core i5</t>
  </si>
  <si>
    <t>PROD014</t>
  </si>
  <si>
    <t>Memória RAM DDR4 16GB</t>
  </si>
  <si>
    <t>PROD015</t>
  </si>
  <si>
    <t>SSD NVMe 1TB</t>
  </si>
  <si>
    <t>PROD016</t>
  </si>
  <si>
    <t>Carregador Rápido 20W</t>
  </si>
  <si>
    <t>PROD017</t>
  </si>
  <si>
    <t>Película de Vidro 3D</t>
  </si>
  <si>
    <t>PROD018</t>
  </si>
  <si>
    <t>Webcam Full HD Pro</t>
  </si>
  <si>
    <t>PROD020</t>
  </si>
  <si>
    <t>Headset Gamer 7.1</t>
  </si>
  <si>
    <t>PROD021</t>
  </si>
  <si>
    <t>Switch Gigabit 8 Portas</t>
  </si>
  <si>
    <t>PROD022</t>
  </si>
  <si>
    <t>Repetidor Wi-Fi Sinaleiro</t>
  </si>
  <si>
    <t>PROD023</t>
  </si>
  <si>
    <t>Gabinete ATX Gamer</t>
  </si>
  <si>
    <t>PROD024</t>
  </si>
  <si>
    <t>Fonte Nominal 500W</t>
  </si>
  <si>
    <t>PROD025</t>
  </si>
  <si>
    <t>Water Cooler 240mm</t>
  </si>
  <si>
    <t>PROD026</t>
  </si>
  <si>
    <t>Suporte Articulado Monitor</t>
  </si>
  <si>
    <t>PROD027</t>
  </si>
  <si>
    <t>Hub USB-C 5 em 1</t>
  </si>
  <si>
    <t>PROD028</t>
  </si>
  <si>
    <t>Carregador Portátil 10k</t>
  </si>
  <si>
    <t>PROD029</t>
  </si>
  <si>
    <t>Smart TV Box 4K</t>
  </si>
  <si>
    <t>PROD030</t>
  </si>
  <si>
    <t>Filtro de Linha 6 Tomadas</t>
  </si>
  <si>
    <t>Qtd Produtos</t>
  </si>
  <si>
    <t xml:space="preserve">Qtd Estoque </t>
  </si>
  <si>
    <t>Média</t>
  </si>
  <si>
    <t>Qtd Estoque</t>
  </si>
  <si>
    <t>Desconto</t>
  </si>
  <si>
    <t>Total</t>
  </si>
  <si>
    <t>Valor com desconto</t>
  </si>
  <si>
    <t>Preço por unidade</t>
  </si>
  <si>
    <t>Todos os Produtos</t>
  </si>
  <si>
    <t>Meus números</t>
  </si>
  <si>
    <t>Vendas por Categoria</t>
  </si>
  <si>
    <t>Vendas Mensais</t>
  </si>
  <si>
    <t>Total de vendas</t>
  </si>
  <si>
    <t>Produtos vendidos</t>
  </si>
  <si>
    <t>Total de Produtos</t>
  </si>
  <si>
    <t>Vendedor</t>
  </si>
  <si>
    <t>Qtd</t>
  </si>
  <si>
    <t>Código</t>
  </si>
  <si>
    <t>Data</t>
  </si>
  <si>
    <t>Mês</t>
  </si>
  <si>
    <t>25/05/2026</t>
  </si>
  <si>
    <t>21/05/2026</t>
  </si>
  <si>
    <t>16/05/2026</t>
  </si>
  <si>
    <t>10/05/2026</t>
  </si>
  <si>
    <t>09/05/2026</t>
  </si>
  <si>
    <t>08/05/2026</t>
  </si>
  <si>
    <t>07/05/2026</t>
  </si>
  <si>
    <t>06/05/2026</t>
  </si>
  <si>
    <t>04/05/2026</t>
  </si>
  <si>
    <t>18/04/2026</t>
  </si>
  <si>
    <t>16/04/2026</t>
  </si>
  <si>
    <t>13/04/2026</t>
  </si>
  <si>
    <t>12/04/2026</t>
  </si>
  <si>
    <t>10/04/2026</t>
  </si>
  <si>
    <t>09/04/2026</t>
  </si>
  <si>
    <t>08/04/2026</t>
  </si>
  <si>
    <t>07/04/2026</t>
  </si>
  <si>
    <t>05/04/2026</t>
  </si>
  <si>
    <t>04/04/2026</t>
  </si>
  <si>
    <t>03/04/2026</t>
  </si>
  <si>
    <t>20/03/2026</t>
  </si>
  <si>
    <t>18/03/2026</t>
  </si>
  <si>
    <t>16/03/2026</t>
  </si>
  <si>
    <t>15/03/2026</t>
  </si>
  <si>
    <t>14/03/2026</t>
  </si>
  <si>
    <t>13/03/2026</t>
  </si>
  <si>
    <t>09/03/2026</t>
  </si>
  <si>
    <t>08/03/2026</t>
  </si>
  <si>
    <t>07/03/2026</t>
  </si>
  <si>
    <t>03/03/2026</t>
  </si>
  <si>
    <t>01/03/2026</t>
  </si>
  <si>
    <t>27/02/2026</t>
  </si>
  <si>
    <t>26/02/2026</t>
  </si>
  <si>
    <t>24/02/2026</t>
  </si>
  <si>
    <t>23/02/2026</t>
  </si>
  <si>
    <t>22/02/2026</t>
  </si>
  <si>
    <t>18/02/2026</t>
  </si>
  <si>
    <t>15/02/2026</t>
  </si>
  <si>
    <t>13/02/2026</t>
  </si>
  <si>
    <t>09/02/2026</t>
  </si>
  <si>
    <t>03/02/2026</t>
  </si>
  <si>
    <t>25/01/2026</t>
  </si>
  <si>
    <t>24/01/2026</t>
  </si>
  <si>
    <t>19/01/2026</t>
  </si>
  <si>
    <t>18/01/2026</t>
  </si>
  <si>
    <t>10/01/2026</t>
  </si>
  <si>
    <t>08/01/2026</t>
  </si>
  <si>
    <t>07/01/2026</t>
  </si>
  <si>
    <t>03/01/2026</t>
  </si>
  <si>
    <t>02/01/2026</t>
  </si>
  <si>
    <t>Quantidade</t>
  </si>
  <si>
    <t>NEXA Tech</t>
  </si>
  <si>
    <t>Vendas</t>
  </si>
  <si>
    <t>Mariana</t>
  </si>
  <si>
    <t>Ricardo</t>
  </si>
  <si>
    <t>Ana</t>
  </si>
  <si>
    <t>Vendedores</t>
  </si>
  <si>
    <t>Totais</t>
  </si>
  <si>
    <t>Meses</t>
  </si>
  <si>
    <t>N.Mês</t>
  </si>
  <si>
    <t>Jan</t>
  </si>
  <si>
    <t>Fev</t>
  </si>
  <si>
    <t>Mar</t>
  </si>
  <si>
    <t>Abr</t>
  </si>
  <si>
    <t>Mai</t>
  </si>
  <si>
    <t>%Categoria</t>
  </si>
  <si>
    <t>%Restante</t>
  </si>
  <si>
    <t>Ranking de vendedores</t>
  </si>
  <si>
    <t>Valor unitário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</si>
</sst>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_-[$R$-416]\ * #,##0_-;\-[$R$-416]\ * #,##0_-;_-[$R$-416]\ 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2"/>
      <color theme="1" tint="0.1499984740745262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sz val="14"/>
      <color theme="0"/>
      <name val="Arial"/>
      <family val="2"/>
    </font>
    <font>
      <sz val="26"/>
      <color theme="1"/>
      <name val="Arial"/>
      <family val="2"/>
    </font>
    <font>
      <b/>
      <sz val="26"/>
      <color theme="1"/>
      <name val="Arial"/>
      <family val="2"/>
    </font>
    <font>
      <sz val="2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0"/>
      <name val="Segoe U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4" tint="0.39997558519241921"/>
      <name val="Calibri"/>
      <family val="2"/>
      <scheme val="minor"/>
    </font>
    <font>
      <b/>
      <sz val="24"/>
      <color rgb="FF8FAADC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4506668294322"/>
        <bgColor theme="4" tint="0.39994506668294322"/>
      </patternFill>
    </fill>
    <fill>
      <patternFill patternType="solid">
        <fgColor theme="1"/>
        <bgColor theme="1"/>
      </patternFill>
    </fill>
    <fill>
      <patternFill patternType="solid">
        <fgColor rgb="FFF2F5F8"/>
        <bgColor rgb="FFF2F5F8"/>
      </patternFill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12" fillId="8" borderId="14" applyProtection="0"/>
    <xf numFmtId="9" fontId="1" fillId="0" borderId="0" applyFont="0" applyFill="0" applyBorder="0" applyAlignment="0" applyProtection="0"/>
    <xf numFmtId="0" fontId="11" fillId="7" borderId="14" applyProtection="0">
      <alignment horizontal="center" vertical="center"/>
    </xf>
    <xf numFmtId="0" fontId="19" fillId="5" borderId="17" applyNumberFormat="0" applyBorder="0" applyAlignment="0" applyProtection="0">
      <alignment horizontal="center"/>
    </xf>
  </cellStyleXfs>
  <cellXfs count="139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6" fillId="5" borderId="0" xfId="0" applyFont="1" applyFill="1"/>
    <xf numFmtId="0" fontId="2" fillId="0" borderId="4" xfId="0" applyFont="1" applyBorder="1"/>
    <xf numFmtId="0" fontId="2" fillId="0" borderId="0" xfId="0" applyFont="1" applyAlignment="1">
      <alignment horizontal="center"/>
    </xf>
    <xf numFmtId="44" fontId="2" fillId="0" borderId="0" xfId="1" applyFont="1" applyBorder="1" applyAlignment="1">
      <alignment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164" fontId="2" fillId="0" borderId="5" xfId="0" applyNumberFormat="1" applyFont="1" applyBorder="1"/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44" fontId="2" fillId="0" borderId="7" xfId="1" applyFont="1" applyBorder="1" applyAlignment="1">
      <alignment vertical="center"/>
    </xf>
    <xf numFmtId="164" fontId="2" fillId="0" borderId="7" xfId="0" applyNumberFormat="1" applyFont="1" applyBorder="1" applyAlignment="1">
      <alignment horizontal="center"/>
    </xf>
    <xf numFmtId="164" fontId="2" fillId="0" borderId="7" xfId="0" applyNumberFormat="1" applyFont="1" applyBorder="1"/>
    <xf numFmtId="164" fontId="2" fillId="0" borderId="8" xfId="0" applyNumberFormat="1" applyFont="1" applyBorder="1"/>
    <xf numFmtId="44" fontId="7" fillId="3" borderId="10" xfId="0" applyNumberFormat="1" applyFont="1" applyFill="1" applyBorder="1"/>
    <xf numFmtId="44" fontId="7" fillId="3" borderId="9" xfId="0" applyNumberFormat="1" applyFont="1" applyFill="1" applyBorder="1"/>
    <xf numFmtId="44" fontId="7" fillId="3" borderId="11" xfId="0" applyNumberFormat="1" applyFont="1" applyFill="1" applyBorder="1"/>
    <xf numFmtId="0" fontId="0" fillId="5" borderId="0" xfId="0" applyFill="1"/>
    <xf numFmtId="0" fontId="0" fillId="5" borderId="0" xfId="0" applyFill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 vertical="center"/>
    </xf>
    <xf numFmtId="0" fontId="0" fillId="0" borderId="13" xfId="0" applyBorder="1"/>
    <xf numFmtId="0" fontId="12" fillId="0" borderId="0" xfId="2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3" fillId="0" borderId="13" xfId="2" applyFont="1" applyFill="1" applyBorder="1" applyAlignment="1">
      <alignment horizontal="center" vertical="center"/>
    </xf>
    <xf numFmtId="2" fontId="13" fillId="0" borderId="13" xfId="2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9" fillId="8" borderId="15" xfId="2" applyFont="1" applyBorder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44" fontId="17" fillId="0" borderId="0" xfId="1" applyFont="1" applyBorder="1" applyAlignment="1">
      <alignment horizontal="center" vertical="top"/>
    </xf>
    <xf numFmtId="0" fontId="18" fillId="4" borderId="0" xfId="0" applyFont="1" applyFill="1" applyAlignment="1">
      <alignment horizontal="center" vertical="center"/>
    </xf>
    <xf numFmtId="44" fontId="18" fillId="4" borderId="0" xfId="1" applyFont="1" applyFill="1" applyBorder="1" applyAlignment="1">
      <alignment horizontal="center" vertical="top"/>
    </xf>
    <xf numFmtId="44" fontId="18" fillId="4" borderId="0" xfId="1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17" fillId="6" borderId="0" xfId="0" applyFont="1" applyFill="1" applyAlignment="1">
      <alignment vertical="center"/>
    </xf>
    <xf numFmtId="0" fontId="8" fillId="6" borderId="0" xfId="0" applyFont="1" applyFill="1" applyAlignment="1">
      <alignment vertical="center"/>
    </xf>
    <xf numFmtId="44" fontId="8" fillId="6" borderId="0" xfId="0" applyNumberFormat="1" applyFont="1" applyFill="1" applyAlignment="1">
      <alignment vertical="center"/>
    </xf>
    <xf numFmtId="44" fontId="4" fillId="4" borderId="12" xfId="1" applyFont="1" applyFill="1" applyBorder="1" applyAlignment="1">
      <alignment horizontal="center" vertical="top"/>
    </xf>
    <xf numFmtId="9" fontId="0" fillId="0" borderId="16" xfId="3" applyFont="1" applyBorder="1" applyAlignment="1">
      <alignment horizontal="center" vertical="top"/>
    </xf>
    <xf numFmtId="0" fontId="20" fillId="9" borderId="18" xfId="0" applyFont="1" applyFill="1" applyBorder="1" applyAlignment="1">
      <alignment horizontal="left"/>
    </xf>
    <xf numFmtId="0" fontId="20" fillId="9" borderId="18" xfId="0" applyFont="1" applyFill="1" applyBorder="1" applyAlignment="1">
      <alignment horizontal="center"/>
    </xf>
    <xf numFmtId="0" fontId="20" fillId="10" borderId="18" xfId="0" applyFont="1" applyFill="1" applyBorder="1" applyAlignment="1">
      <alignment horizontal="left"/>
    </xf>
    <xf numFmtId="0" fontId="20" fillId="10" borderId="18" xfId="0" applyFont="1" applyFill="1" applyBorder="1" applyAlignment="1">
      <alignment horizontal="center"/>
    </xf>
    <xf numFmtId="3" fontId="20" fillId="9" borderId="18" xfId="0" applyNumberFormat="1" applyFont="1" applyFill="1" applyBorder="1" applyAlignment="1">
      <alignment horizontal="center"/>
    </xf>
    <xf numFmtId="3" fontId="20" fillId="10" borderId="18" xfId="0" applyNumberFormat="1" applyFont="1" applyFill="1" applyBorder="1" applyAlignment="1">
      <alignment horizontal="center"/>
    </xf>
    <xf numFmtId="164" fontId="20" fillId="9" borderId="18" xfId="0" applyNumberFormat="1" applyFont="1" applyFill="1" applyBorder="1" applyAlignment="1">
      <alignment horizontal="left"/>
    </xf>
    <xf numFmtId="0" fontId="20" fillId="9" borderId="19" xfId="0" applyFont="1" applyFill="1" applyBorder="1" applyAlignment="1">
      <alignment horizontal="center"/>
    </xf>
    <xf numFmtId="0" fontId="20" fillId="10" borderId="21" xfId="0" applyFont="1" applyFill="1" applyBorder="1" applyAlignment="1">
      <alignment horizontal="center"/>
    </xf>
    <xf numFmtId="164" fontId="0" fillId="0" borderId="0" xfId="0" applyNumberFormat="1"/>
    <xf numFmtId="0" fontId="12" fillId="8" borderId="14" xfId="2" applyAlignment="1">
      <alignment horizontal="center"/>
    </xf>
    <xf numFmtId="0" fontId="20" fillId="9" borderId="20" xfId="0" applyFont="1" applyFill="1" applyBorder="1" applyAlignment="1">
      <alignment horizontal="center"/>
    </xf>
    <xf numFmtId="0" fontId="20" fillId="10" borderId="20" xfId="0" applyFont="1" applyFill="1" applyBorder="1" applyAlignment="1">
      <alignment horizontal="center"/>
    </xf>
    <xf numFmtId="0" fontId="21" fillId="0" borderId="13" xfId="0" applyFont="1" applyBorder="1"/>
    <xf numFmtId="0" fontId="10" fillId="0" borderId="13" xfId="0" applyFont="1" applyBorder="1"/>
    <xf numFmtId="0" fontId="2" fillId="0" borderId="13" xfId="0" applyFont="1" applyBorder="1"/>
    <xf numFmtId="164" fontId="0" fillId="0" borderId="13" xfId="0" applyNumberFormat="1" applyBorder="1"/>
    <xf numFmtId="0" fontId="10" fillId="0" borderId="0" xfId="0" applyFont="1"/>
    <xf numFmtId="14" fontId="20" fillId="9" borderId="18" xfId="0" applyNumberFormat="1" applyFont="1" applyFill="1" applyBorder="1" applyAlignment="1">
      <alignment horizontal="center"/>
    </xf>
    <xf numFmtId="14" fontId="20" fillId="10" borderId="18" xfId="0" applyNumberFormat="1" applyFont="1" applyFill="1" applyBorder="1" applyAlignment="1">
      <alignment horizontal="center"/>
    </xf>
    <xf numFmtId="164" fontId="0" fillId="0" borderId="13" xfId="1" applyNumberFormat="1" applyFont="1" applyBorder="1"/>
    <xf numFmtId="0" fontId="10" fillId="0" borderId="13" xfId="0" applyFont="1" applyBorder="1" applyAlignment="1">
      <alignment horizontal="center"/>
    </xf>
    <xf numFmtId="9" fontId="0" fillId="0" borderId="13" xfId="3" applyFont="1" applyBorder="1"/>
    <xf numFmtId="9" fontId="0" fillId="0" borderId="13" xfId="0" applyNumberFormat="1" applyBorder="1"/>
    <xf numFmtId="9" fontId="24" fillId="0" borderId="0" xfId="0" applyNumberFormat="1" applyFont="1"/>
    <xf numFmtId="165" fontId="20" fillId="9" borderId="18" xfId="0" applyNumberFormat="1" applyFont="1" applyFill="1" applyBorder="1" applyAlignment="1">
      <alignment horizontal="left"/>
    </xf>
    <xf numFmtId="164" fontId="16" fillId="0" borderId="1" xfId="0" applyNumberFormat="1" applyFont="1" applyBorder="1" applyAlignment="1">
      <alignment horizontal="center" vertical="top"/>
    </xf>
    <xf numFmtId="164" fontId="16" fillId="0" borderId="2" xfId="0" applyNumberFormat="1" applyFont="1" applyBorder="1" applyAlignment="1">
      <alignment horizontal="center" vertical="top"/>
    </xf>
    <xf numFmtId="164" fontId="16" fillId="0" borderId="3" xfId="0" applyNumberFormat="1" applyFont="1" applyBorder="1" applyAlignment="1">
      <alignment horizontal="center" vertical="top"/>
    </xf>
    <xf numFmtId="164" fontId="16" fillId="0" borderId="4" xfId="0" applyNumberFormat="1" applyFont="1" applyBorder="1" applyAlignment="1">
      <alignment horizontal="center" vertical="top"/>
    </xf>
    <xf numFmtId="164" fontId="16" fillId="0" borderId="0" xfId="0" applyNumberFormat="1" applyFont="1" applyAlignment="1">
      <alignment horizontal="center" vertical="top"/>
    </xf>
    <xf numFmtId="164" fontId="16" fillId="0" borderId="5" xfId="0" applyNumberFormat="1" applyFont="1" applyBorder="1" applyAlignment="1">
      <alignment horizontal="center" vertical="top"/>
    </xf>
    <xf numFmtId="164" fontId="16" fillId="0" borderId="6" xfId="0" applyNumberFormat="1" applyFont="1" applyBorder="1" applyAlignment="1">
      <alignment horizontal="center" vertical="top"/>
    </xf>
    <xf numFmtId="164" fontId="16" fillId="0" borderId="7" xfId="0" applyNumberFormat="1" applyFont="1" applyBorder="1" applyAlignment="1">
      <alignment horizontal="center" vertical="top"/>
    </xf>
    <xf numFmtId="164" fontId="16" fillId="0" borderId="8" xfId="0" applyNumberFormat="1" applyFont="1" applyBorder="1" applyAlignment="1">
      <alignment horizontal="center" vertical="top"/>
    </xf>
    <xf numFmtId="0" fontId="23" fillId="2" borderId="4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3" fillId="2" borderId="1" xfId="0" applyFont="1" applyFill="1" applyBorder="1" applyAlignment="1">
      <alignment horizontal="center"/>
    </xf>
    <xf numFmtId="0" fontId="23" fillId="2" borderId="2" xfId="0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/>
    </xf>
    <xf numFmtId="0" fontId="23" fillId="2" borderId="6" xfId="0" applyFont="1" applyFill="1" applyBorder="1" applyAlignment="1">
      <alignment horizontal="center"/>
    </xf>
    <xf numFmtId="0" fontId="23" fillId="2" borderId="7" xfId="0" applyFont="1" applyFill="1" applyBorder="1" applyAlignment="1">
      <alignment horizontal="center"/>
    </xf>
    <xf numFmtId="0" fontId="23" fillId="2" borderId="8" xfId="0" applyFont="1" applyFill="1" applyBorder="1" applyAlignment="1">
      <alignment horizontal="center"/>
    </xf>
    <xf numFmtId="3" fontId="16" fillId="0" borderId="1" xfId="0" applyNumberFormat="1" applyFont="1" applyBorder="1" applyAlignment="1">
      <alignment horizontal="center" vertical="top"/>
    </xf>
    <xf numFmtId="0" fontId="16" fillId="0" borderId="2" xfId="0" applyFont="1" applyBorder="1" applyAlignment="1">
      <alignment horizontal="center" vertical="top"/>
    </xf>
    <xf numFmtId="0" fontId="16" fillId="0" borderId="3" xfId="0" applyFont="1" applyBorder="1" applyAlignment="1">
      <alignment horizontal="center" vertical="top"/>
    </xf>
    <xf numFmtId="0" fontId="16" fillId="0" borderId="4" xfId="0" applyFont="1" applyBorder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16" fillId="0" borderId="5" xfId="0" applyFont="1" applyBorder="1" applyAlignment="1">
      <alignment horizontal="center" vertical="top"/>
    </xf>
    <xf numFmtId="0" fontId="16" fillId="0" borderId="6" xfId="0" applyFont="1" applyBorder="1" applyAlignment="1">
      <alignment horizontal="center" vertical="top"/>
    </xf>
    <xf numFmtId="0" fontId="16" fillId="0" borderId="7" xfId="0" applyFont="1" applyBorder="1" applyAlignment="1">
      <alignment horizontal="center" vertical="top"/>
    </xf>
    <xf numFmtId="0" fontId="16" fillId="0" borderId="8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1" fillId="7" borderId="22" xfId="4" applyBorder="1">
      <alignment horizontal="center" vertical="center"/>
    </xf>
    <xf numFmtId="0" fontId="11" fillId="7" borderId="23" xfId="4" applyBorder="1">
      <alignment horizontal="center" vertical="center"/>
    </xf>
    <xf numFmtId="0" fontId="11" fillId="7" borderId="24" xfId="4" applyBorder="1">
      <alignment horizontal="center" vertical="center"/>
    </xf>
    <xf numFmtId="0" fontId="14" fillId="6" borderId="14" xfId="4" applyFont="1" applyFill="1">
      <alignment horizontal="center" vertical="center"/>
    </xf>
    <xf numFmtId="0" fontId="5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11" fillId="7" borderId="14" xfId="4">
      <alignment horizontal="center" vertical="center"/>
    </xf>
    <xf numFmtId="0" fontId="11" fillId="7" borderId="9" xfId="4" applyBorder="1">
      <alignment horizontal="center" vertical="center"/>
    </xf>
    <xf numFmtId="0" fontId="11" fillId="7" borderId="10" xfId="4" applyBorder="1">
      <alignment horizontal="center" vertical="center"/>
    </xf>
    <xf numFmtId="0" fontId="11" fillId="7" borderId="11" xfId="4" applyBorder="1">
      <alignment horizontal="center" vertical="center"/>
    </xf>
    <xf numFmtId="0" fontId="16" fillId="0" borderId="0" xfId="0" applyFont="1" applyAlignment="1">
      <alignment horizontal="left" vertical="top"/>
    </xf>
  </cellXfs>
  <cellStyles count="6">
    <cellStyle name="Cabeçalho Meteora" xfId="5" xr:uid="{03709B27-C9C4-41C6-B2B4-768B0E5935C5}"/>
    <cellStyle name="Moeda" xfId="1" builtinId="4"/>
    <cellStyle name="Normal" xfId="0" builtinId="0"/>
    <cellStyle name="Porcentagem" xfId="3" builtinId="5"/>
    <cellStyle name="subtitulo" xfId="2" xr:uid="{200FCD3B-8C07-4329-94FC-839072AEE9CF}"/>
    <cellStyle name="Título2" xfId="4" xr:uid="{B0914D5E-7B1B-4842-8C9E-01887E1D7D6F}"/>
  </cellStyles>
  <dxfs count="33">
    <dxf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D9D9D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4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4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4" tint="0.3999755851924192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right style="thin">
          <color rgb="FFD9D9D9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3" formatCode="#,##0"/>
      <fill>
        <patternFill patternType="solid">
          <fgColor rgb="FFF2F5F8"/>
          <bgColor rgb="FFF2F5F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left style="thin">
          <color rgb="FFD9D9D9"/>
        </left>
      </border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33CC33"/>
      <color rgb="FFFF9933"/>
      <color rgb="FFFDA9B3"/>
      <color rgb="FFCC66FF"/>
      <color rgb="FF66FF66"/>
      <color rgb="FFFFCC99"/>
      <color rgb="FFFFCCCC"/>
      <color rgb="FFCCECFF"/>
      <color rgb="FF0099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/>
              <a:t>Soma de produtos</a:t>
            </a:r>
          </a:p>
        </c:rich>
      </c:tx>
      <c:layout>
        <c:manualLayout>
          <c:xMode val="edge"/>
          <c:yMode val="edge"/>
          <c:x val="0.40302420064046507"/>
          <c:y val="2.1175885235372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57150"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114360926917652E-2"/>
          <c:y val="0.14852815925866394"/>
          <c:w val="0.91525305961141112"/>
          <c:h val="0.49529483541546387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5715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9"/>
              <c:pt idx="0">
                <c:v>Cabo HDMI 2.1 (2m)</c:v>
              </c:pt>
              <c:pt idx="1">
                <c:v>Caixa de Som Portátil</c:v>
              </c:pt>
              <c:pt idx="2">
                <c:v>Carregador Portátil 10k</c:v>
              </c:pt>
              <c:pt idx="3">
                <c:v>Carregador Rápido 20W</c:v>
              </c:pt>
              <c:pt idx="4">
                <c:v>Filtro de Linha 6 Tomadas</c:v>
              </c:pt>
              <c:pt idx="5">
                <c:v>Fone de Ouvido Bluetooth</c:v>
              </c:pt>
              <c:pt idx="6">
                <c:v>Fonte Nominal 500W</c:v>
              </c:pt>
              <c:pt idx="7">
                <c:v>Gabinete ATX Gamer</c:v>
              </c:pt>
              <c:pt idx="8">
                <c:v>HD Externo 2TB</c:v>
              </c:pt>
              <c:pt idx="9">
                <c:v>Headset Gamer 7.1</c:v>
              </c:pt>
              <c:pt idx="10">
                <c:v>Hub USB-C 5 em 1</c:v>
              </c:pt>
              <c:pt idx="11">
                <c:v>Memória RAM DDR4 16GB</c:v>
              </c:pt>
              <c:pt idx="12">
                <c:v>Monitor Gamer 27"</c:v>
              </c:pt>
              <c:pt idx="13">
                <c:v>Mouse Sem Fio Erggon</c:v>
              </c:pt>
              <c:pt idx="14">
                <c:v>Notebook Ultrawide 15"</c:v>
              </c:pt>
              <c:pt idx="15">
                <c:v>Película de Vidro 3D</c:v>
              </c:pt>
              <c:pt idx="16">
                <c:v>Placa de Vídeo RTX 4060</c:v>
              </c:pt>
              <c:pt idx="17">
                <c:v>Processador Core i5</c:v>
              </c:pt>
              <c:pt idx="18">
                <c:v>Repetidor Wi-Fi Sinaleiro</c:v>
              </c:pt>
              <c:pt idx="19">
                <c:v>Roteador Wi-Fi 6</c:v>
              </c:pt>
              <c:pt idx="20">
                <c:v>Smart TV Box 4K</c:v>
              </c:pt>
              <c:pt idx="21">
                <c:v>Smartphone Alfa Pro</c:v>
              </c:pt>
              <c:pt idx="22">
                <c:v>Smartwatch Sport V2</c:v>
              </c:pt>
              <c:pt idx="23">
                <c:v>SSD NVMe 1TB</c:v>
              </c:pt>
              <c:pt idx="24">
                <c:v>Suporte Articulado Monitor</c:v>
              </c:pt>
              <c:pt idx="25">
                <c:v>Switch Gigabit 8 Portas</c:v>
              </c:pt>
              <c:pt idx="26">
                <c:v>Teclado Mecânico RGB</c:v>
              </c:pt>
              <c:pt idx="27">
                <c:v>Water Cooler 240mm</c:v>
              </c:pt>
              <c:pt idx="28">
                <c:v>Webcam Full HD Pro</c:v>
              </c:pt>
            </c:strLit>
          </c:cat>
          <c:val>
            <c:numLit>
              <c:formatCode>General</c:formatCode>
              <c:ptCount val="29"/>
              <c:pt idx="0">
                <c:v>45</c:v>
              </c:pt>
              <c:pt idx="1">
                <c:v>5</c:v>
              </c:pt>
              <c:pt idx="2">
                <c:v>14</c:v>
              </c:pt>
              <c:pt idx="3">
                <c:v>60</c:v>
              </c:pt>
              <c:pt idx="4">
                <c:v>55</c:v>
              </c:pt>
              <c:pt idx="5">
                <c:v>0</c:v>
              </c:pt>
              <c:pt idx="6">
                <c:v>13</c:v>
              </c:pt>
              <c:pt idx="7">
                <c:v>6</c:v>
              </c:pt>
              <c:pt idx="8">
                <c:v>30</c:v>
              </c:pt>
              <c:pt idx="9">
                <c:v>15</c:v>
              </c:pt>
              <c:pt idx="10">
                <c:v>22</c:v>
              </c:pt>
              <c:pt idx="11">
                <c:v>25</c:v>
              </c:pt>
              <c:pt idx="12">
                <c:v>22</c:v>
              </c:pt>
              <c:pt idx="13">
                <c:v>50</c:v>
              </c:pt>
              <c:pt idx="14">
                <c:v>15</c:v>
              </c:pt>
              <c:pt idx="15">
                <c:v>100</c:v>
              </c:pt>
              <c:pt idx="16">
                <c:v>2</c:v>
              </c:pt>
              <c:pt idx="17">
                <c:v>7</c:v>
              </c:pt>
              <c:pt idx="18">
                <c:v>0</c:v>
              </c:pt>
              <c:pt idx="19">
                <c:v>12</c:v>
              </c:pt>
              <c:pt idx="20">
                <c:v>9</c:v>
              </c:pt>
              <c:pt idx="21">
                <c:v>8</c:v>
              </c:pt>
              <c:pt idx="22">
                <c:v>14</c:v>
              </c:pt>
              <c:pt idx="23">
                <c:v>40</c:v>
              </c:pt>
              <c:pt idx="24">
                <c:v>18</c:v>
              </c:pt>
              <c:pt idx="25">
                <c:v>8</c:v>
              </c:pt>
              <c:pt idx="26">
                <c:v>3</c:v>
              </c:pt>
              <c:pt idx="27">
                <c:v>1</c:v>
              </c:pt>
              <c:pt idx="28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00-EF17-4999-9A4E-56DEEAE780C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"/>
        <c:overlap val="75"/>
        <c:axId val="970614736"/>
        <c:axId val="970615696"/>
      </c:barChart>
      <c:catAx>
        <c:axId val="97061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0615696"/>
        <c:crosses val="autoZero"/>
        <c:auto val="1"/>
        <c:lblAlgn val="ctr"/>
        <c:lblOffset val="100"/>
        <c:noMultiLvlLbl val="0"/>
      </c:catAx>
      <c:valAx>
        <c:axId val="97061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>
            <a:outerShdw blurRad="50800" dir="5400000" algn="ctr" rotWithShape="0">
              <a:srgbClr val="000000">
                <a:alpha val="43137"/>
              </a:srgbClr>
            </a:outerShdw>
          </a:effectLst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061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73242918030443"/>
          <c:y val="3.7616572285736204E-3"/>
          <c:w val="0.83166207850734064"/>
          <c:h val="0.9268147934933725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'Dados para gráficos'!$A$2:$A$4</c:f>
              <c:strCache>
                <c:ptCount val="3"/>
                <c:pt idx="0">
                  <c:v>Ana</c:v>
                </c:pt>
                <c:pt idx="1">
                  <c:v>Mariana</c:v>
                </c:pt>
                <c:pt idx="2">
                  <c:v>Ricardo</c:v>
                </c:pt>
              </c:strCache>
            </c:strRef>
          </c:cat>
          <c:val>
            <c:numRef>
              <c:f>'Dados para gráficos'!$B$2:$B$4</c:f>
              <c:numCache>
                <c:formatCode>_-[$R$-416]\ * #,##0.00_-;\-[$R$-416]\ * #,##0.00_-;_-[$R$-416]\ * "-"??_-;_-@_-</c:formatCode>
                <c:ptCount val="3"/>
                <c:pt idx="0">
                  <c:v>45861.399999999994</c:v>
                </c:pt>
                <c:pt idx="1">
                  <c:v>33708.5</c:v>
                </c:pt>
                <c:pt idx="2">
                  <c:v>56886.600000000006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4-43AB-836F-01E3B1957BD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49377343"/>
        <c:axId val="1749384543"/>
      </c:barChart>
      <c:catAx>
        <c:axId val="174937734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9384543"/>
        <c:crosses val="autoZero"/>
        <c:auto val="1"/>
        <c:lblAlgn val="ctr"/>
        <c:lblOffset val="100"/>
        <c:noMultiLvlLbl val="0"/>
      </c:catAx>
      <c:valAx>
        <c:axId val="1749384543"/>
        <c:scaling>
          <c:orientation val="minMax"/>
        </c:scaling>
        <c:delete val="1"/>
        <c:axPos val="b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74937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strRef>
              <c:f>'Dados para gráficos'!$E$2:$E$6</c:f>
              <c:strCache>
                <c:ptCount val="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</c:strCache>
            </c:strRef>
          </c:cat>
          <c:val>
            <c:numRef>
              <c:f>'Dados para gráficos'!$F$2:$F$6</c:f>
              <c:numCache>
                <c:formatCode>_-[$R$-416]\ * #,##0.00_-;\-[$R$-416]\ * #,##0.00_-;_-[$R$-416]\ * "-"??_-;_-@_-</c:formatCode>
                <c:ptCount val="5"/>
                <c:pt idx="0">
                  <c:v>41008.400000000001</c:v>
                </c:pt>
                <c:pt idx="1">
                  <c:v>6008</c:v>
                </c:pt>
                <c:pt idx="2">
                  <c:v>29760.799999999999</c:v>
                </c:pt>
                <c:pt idx="3">
                  <c:v>49142</c:v>
                </c:pt>
                <c:pt idx="4">
                  <c:v>10537.3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9-4436-992C-A338719E01F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8798959"/>
        <c:axId val="1768793199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4A9-4436-992C-A338719E01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para gráficos'!$E$2:$E$6</c:f>
              <c:strCache>
                <c:ptCount val="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</c:strCache>
            </c:strRef>
          </c:cat>
          <c:val>
            <c:numRef>
              <c:f>'Dados para gráficos'!$G$2:$G$6</c:f>
              <c:numCache>
                <c:formatCode>General</c:formatCode>
                <c:ptCount val="5"/>
                <c:pt idx="0">
                  <c:v>40</c:v>
                </c:pt>
                <c:pt idx="1">
                  <c:v>27</c:v>
                </c:pt>
                <c:pt idx="2">
                  <c:v>41</c:v>
                </c:pt>
                <c:pt idx="3">
                  <c:v>54</c:v>
                </c:pt>
                <c:pt idx="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A9-4436-992C-A338719E01F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68801839"/>
        <c:axId val="1768789359"/>
      </c:lineChart>
      <c:catAx>
        <c:axId val="176879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8793199"/>
        <c:crosses val="autoZero"/>
        <c:auto val="1"/>
        <c:lblAlgn val="ctr"/>
        <c:lblOffset val="100"/>
        <c:noMultiLvlLbl val="0"/>
      </c:catAx>
      <c:valAx>
        <c:axId val="17687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8798959"/>
        <c:crosses val="autoZero"/>
        <c:crossBetween val="between"/>
      </c:valAx>
      <c:valAx>
        <c:axId val="176878935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8801839"/>
        <c:crosses val="max"/>
        <c:crossBetween val="between"/>
      </c:valAx>
      <c:catAx>
        <c:axId val="17688018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687893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0" cap="flat" cmpd="sng" algn="ctr">
      <a:solidFill>
        <a:schemeClr val="dk1">
          <a:lumMod val="25000"/>
          <a:lumOff val="75000"/>
        </a:schemeClr>
      </a:solidFill>
      <a:round/>
    </a:ln>
    <a:effectLst>
      <a:softEdge rad="0"/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3997725488588595E-2"/>
          <c:y val="0.2498882006444518"/>
          <c:w val="0.69612966049628389"/>
          <c:h val="0.68462597138874015"/>
        </c:manualLayout>
      </c:layout>
      <c:doughnutChart>
        <c:varyColors val="1"/>
        <c:ser>
          <c:idx val="0"/>
          <c:order val="0"/>
          <c:tx>
            <c:strRef>
              <c:f>'Dados para gráficos'!$I$2</c:f>
              <c:strCache>
                <c:ptCount val="1"/>
                <c:pt idx="0">
                  <c:v>Acessórios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958-4E65-B736-905DD4741681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958-4E65-B736-905DD4741681}"/>
              </c:ext>
            </c:extLst>
          </c:dPt>
          <c:val>
            <c:numRef>
              <c:f>'Dados para gráficos'!$J$2:$K$2</c:f>
              <c:numCache>
                <c:formatCode>0%</c:formatCode>
                <c:ptCount val="2"/>
                <c:pt idx="0">
                  <c:v>8.4213650504006768E-2</c:v>
                </c:pt>
                <c:pt idx="1">
                  <c:v>0.91578634949599325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58-4E65-B736-905DD4741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gráficos'!$I$3</c:f>
              <c:strCache>
                <c:ptCount val="1"/>
                <c:pt idx="0">
                  <c:v>Celulares</c:v>
                </c:pt>
              </c:strCache>
            </c:strRef>
          </c:tx>
          <c:spPr>
            <a:solidFill>
              <a:srgbClr val="FDA9B3"/>
            </a:solidFill>
          </c:spPr>
          <c:dPt>
            <c:idx val="0"/>
            <c:bubble3D val="0"/>
            <c:spPr>
              <a:solidFill>
                <a:srgbClr val="FDA9B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2A4-4CAC-8A9B-7E9651093845}"/>
              </c:ext>
            </c:extLst>
          </c:dPt>
          <c:dPt>
            <c:idx val="1"/>
            <c:bubble3D val="0"/>
            <c:spPr>
              <a:solidFill>
                <a:srgbClr val="FFCCCC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2A4-4CAC-8A9B-7E9651093845}"/>
              </c:ext>
            </c:extLst>
          </c:dPt>
          <c:val>
            <c:numRef>
              <c:f>'Dados para gráficos'!$J$3:$K$3</c:f>
              <c:numCache>
                <c:formatCode>0%</c:formatCode>
                <c:ptCount val="2"/>
                <c:pt idx="0">
                  <c:v>0.34131243289986191</c:v>
                </c:pt>
                <c:pt idx="1">
                  <c:v>0.65868756710013809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A4-4CAC-8A9B-7E9651093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gráficos'!$I$5</c:f>
              <c:strCache>
                <c:ptCount val="1"/>
                <c:pt idx="0">
                  <c:v>Informática</c:v>
                </c:pt>
              </c:strCache>
            </c:strRef>
          </c:tx>
          <c:spPr>
            <a:solidFill>
              <a:srgbClr val="FF9933"/>
            </a:solidFill>
          </c:spPr>
          <c:dPt>
            <c:idx val="0"/>
            <c:bubble3D val="0"/>
            <c:spPr>
              <a:solidFill>
                <a:srgbClr val="FF993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52E-49A4-8B56-5D7C11B2F5DE}"/>
              </c:ext>
            </c:extLst>
          </c:dPt>
          <c:dPt>
            <c:idx val="1"/>
            <c:bubble3D val="0"/>
            <c:spPr>
              <a:solidFill>
                <a:srgbClr val="FFCC99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52E-49A4-8B56-5D7C11B2F5DE}"/>
              </c:ext>
            </c:extLst>
          </c:dPt>
          <c:dLbls>
            <c:delete val="1"/>
          </c:dLbls>
          <c:val>
            <c:numRef>
              <c:f>'Dados para gráficos'!$J$5:$K$5</c:f>
              <c:numCache>
                <c:formatCode>0%</c:formatCode>
                <c:ptCount val="2"/>
                <c:pt idx="0">
                  <c:v>0.44917611106836247</c:v>
                </c:pt>
                <c:pt idx="1">
                  <c:v>0.55082388893163747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2E-49A4-8B56-5D7C11B2F5D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gráficos'!$I$6</c:f>
              <c:strCache>
                <c:ptCount val="1"/>
                <c:pt idx="0">
                  <c:v>Monitores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13E-4D65-8912-8E3761525991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13E-4D65-8912-8E3761525991}"/>
              </c:ext>
            </c:extLst>
          </c:dPt>
          <c:dLbls>
            <c:delete val="1"/>
          </c:dLbls>
          <c:val>
            <c:numRef>
              <c:f>'Dados para gráficos'!$J$6:$K$6</c:f>
              <c:numCache>
                <c:formatCode>0%</c:formatCode>
                <c:ptCount val="2"/>
                <c:pt idx="0">
                  <c:v>5.3130484806513431E-2</c:v>
                </c:pt>
                <c:pt idx="1">
                  <c:v>0.94686951519348661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3E-4D65-8912-8E376152599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gráficos'!$I$4</c:f>
              <c:strCache>
                <c:ptCount val="1"/>
                <c:pt idx="0">
                  <c:v>Áudio</c:v>
                </c:pt>
              </c:strCache>
            </c:strRef>
          </c:tx>
          <c:spPr>
            <a:solidFill>
              <a:srgbClr val="CC66FF"/>
            </a:solidFill>
          </c:spPr>
          <c:dPt>
            <c:idx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7D5-4A47-878C-244CA2598002}"/>
              </c:ext>
            </c:extLst>
          </c:dPt>
          <c:dPt>
            <c:idx val="1"/>
            <c:bubble3D val="0"/>
            <c:spPr>
              <a:solidFill>
                <a:srgbClr val="CC66F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7D5-4A47-878C-244CA2598002}"/>
              </c:ext>
            </c:extLst>
          </c:dPt>
          <c:val>
            <c:numRef>
              <c:f>'Dados para gráficos'!$J$4:$K$4</c:f>
              <c:numCache>
                <c:formatCode>0%</c:formatCode>
                <c:ptCount val="2"/>
                <c:pt idx="0">
                  <c:v>3.9453598765907087E-2</c:v>
                </c:pt>
                <c:pt idx="1">
                  <c:v>0.96054640123409296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D5-4A47-878C-244CA2598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gráficos'!$I$7</c:f>
              <c:strCache>
                <c:ptCount val="1"/>
                <c:pt idx="0">
                  <c:v>Redes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E57-4DCC-BB7A-2B3859B85B57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E57-4DCC-BB7A-2B3859B85B57}"/>
              </c:ext>
            </c:extLst>
          </c:dPt>
          <c:val>
            <c:numRef>
              <c:f>'Dados para gráficos'!$J$7:$K$7</c:f>
              <c:numCache>
                <c:formatCode>0%</c:formatCode>
                <c:ptCount val="2"/>
                <c:pt idx="0">
                  <c:v>3.2713721955348406E-2</c:v>
                </c:pt>
                <c:pt idx="1">
                  <c:v>0.96728627804465162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57-4DCC-BB7A-2B3859B85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E3CF32B-FD64-4790-8152-E015201D33DD}">
  <sheetPr/>
  <sheetViews>
    <sheetView zoomScale="101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42505" cy="601054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EEAC39-8AE0-168A-7A0E-B936A052CB0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132522</xdr:colOff>
      <xdr:row>0</xdr:row>
      <xdr:rowOff>66260</xdr:rowOff>
    </xdr:from>
    <xdr:ext cx="2374348" cy="1510339"/>
    <xdr:pic>
      <xdr:nvPicPr>
        <xdr:cNvPr id="2" name="Imagem 1">
          <a:extLst>
            <a:ext uri="{FF2B5EF4-FFF2-40B4-BE49-F238E27FC236}">
              <a16:creationId xmlns:a16="http://schemas.microsoft.com/office/drawing/2014/main" id="{3733558D-939D-4920-B3A7-C96E595CC4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86" t="28385" r="10886" b="12383"/>
        <a:stretch>
          <a:fillRect/>
        </a:stretch>
      </xdr:blipFill>
      <xdr:spPr>
        <a:xfrm>
          <a:off x="419652" y="66260"/>
          <a:ext cx="2374348" cy="1510339"/>
        </a:xfrm>
        <a:prstGeom prst="rect">
          <a:avLst/>
        </a:prstGeom>
      </xdr:spPr>
    </xdr:pic>
    <xdr:clientData/>
  </xdr:oneCellAnchor>
  <xdr:twoCellAnchor>
    <xdr:from>
      <xdr:col>47</xdr:col>
      <xdr:colOff>56099</xdr:colOff>
      <xdr:row>27</xdr:row>
      <xdr:rowOff>66399</xdr:rowOff>
    </xdr:from>
    <xdr:to>
      <xdr:col>87</xdr:col>
      <xdr:colOff>27215</xdr:colOff>
      <xdr:row>48</xdr:row>
      <xdr:rowOff>63500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7D1D2211-1E44-F330-39B3-0836969E6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69272</xdr:colOff>
      <xdr:row>10</xdr:row>
      <xdr:rowOff>1</xdr:rowOff>
    </xdr:from>
    <xdr:to>
      <xdr:col>86</xdr:col>
      <xdr:colOff>111760</xdr:colOff>
      <xdr:row>23</xdr:row>
      <xdr:rowOff>393843</xdr:rowOff>
    </xdr:to>
    <xdr:graphicFrame macro="">
      <xdr:nvGraphicFramePr>
        <xdr:cNvPr id="4" name="Gráfico 2">
          <a:extLst>
            <a:ext uri="{FF2B5EF4-FFF2-40B4-BE49-F238E27FC236}">
              <a16:creationId xmlns:a16="http://schemas.microsoft.com/office/drawing/2014/main" id="{9FCEE6B8-221C-44B6-7595-1CB0AD676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8562</xdr:colOff>
      <xdr:row>27</xdr:row>
      <xdr:rowOff>8562</xdr:rowOff>
    </xdr:from>
    <xdr:to>
      <xdr:col>40</xdr:col>
      <xdr:colOff>0</xdr:colOff>
      <xdr:row>45</xdr:row>
      <xdr:rowOff>94180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F689649-E3CF-C2E4-9DF4-2ED313A69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21473</xdr:colOff>
      <xdr:row>27</xdr:row>
      <xdr:rowOff>46343</xdr:rowOff>
    </xdr:from>
    <xdr:to>
      <xdr:col>16</xdr:col>
      <xdr:colOff>41324</xdr:colOff>
      <xdr:row>45</xdr:row>
      <xdr:rowOff>42071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F2354CB-191E-3461-A2A4-ADE613B2F8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49778</xdr:colOff>
      <xdr:row>27</xdr:row>
      <xdr:rowOff>29144</xdr:rowOff>
    </xdr:from>
    <xdr:to>
      <xdr:col>30</xdr:col>
      <xdr:colOff>69629</xdr:colOff>
      <xdr:row>45</xdr:row>
      <xdr:rowOff>24872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CC72FB0-4B9B-030B-45AD-3CCDC5B566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78083</xdr:colOff>
      <xdr:row>27</xdr:row>
      <xdr:rowOff>31081</xdr:rowOff>
    </xdr:from>
    <xdr:to>
      <xdr:col>44</xdr:col>
      <xdr:colOff>97934</xdr:colOff>
      <xdr:row>45</xdr:row>
      <xdr:rowOff>26809</xdr:rowOff>
    </xdr:to>
    <xdr:graphicFrame macro="">
      <xdr:nvGraphicFramePr>
        <xdr:cNvPr id="8" name="Gráfico 8">
          <a:extLst>
            <a:ext uri="{FF2B5EF4-FFF2-40B4-BE49-F238E27FC236}">
              <a16:creationId xmlns:a16="http://schemas.microsoft.com/office/drawing/2014/main" id="{129A3C5F-60F5-ACD7-AF46-47F0D3783F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59941</xdr:colOff>
      <xdr:row>45</xdr:row>
      <xdr:rowOff>66441</xdr:rowOff>
    </xdr:from>
    <xdr:to>
      <xdr:col>30</xdr:col>
      <xdr:colOff>79792</xdr:colOff>
      <xdr:row>63</xdr:row>
      <xdr:rowOff>62170</xdr:rowOff>
    </xdr:to>
    <xdr:graphicFrame macro="">
      <xdr:nvGraphicFramePr>
        <xdr:cNvPr id="9" name="Gráfico 9">
          <a:extLst>
            <a:ext uri="{FF2B5EF4-FFF2-40B4-BE49-F238E27FC236}">
              <a16:creationId xmlns:a16="http://schemas.microsoft.com/office/drawing/2014/main" id="{D5A62ED8-1945-35CF-5639-F0786E510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84011</xdr:colOff>
      <xdr:row>45</xdr:row>
      <xdr:rowOff>53405</xdr:rowOff>
    </xdr:from>
    <xdr:to>
      <xdr:col>44</xdr:col>
      <xdr:colOff>103862</xdr:colOff>
      <xdr:row>63</xdr:row>
      <xdr:rowOff>49134</xdr:rowOff>
    </xdr:to>
    <xdr:graphicFrame macro="">
      <xdr:nvGraphicFramePr>
        <xdr:cNvPr id="10" name="Gráfico 7">
          <a:extLst>
            <a:ext uri="{FF2B5EF4-FFF2-40B4-BE49-F238E27FC236}">
              <a16:creationId xmlns:a16="http://schemas.microsoft.com/office/drawing/2014/main" id="{15FC6933-039A-1E47-7623-96BCE3A76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35872</xdr:colOff>
      <xdr:row>45</xdr:row>
      <xdr:rowOff>64575</xdr:rowOff>
    </xdr:from>
    <xdr:to>
      <xdr:col>16</xdr:col>
      <xdr:colOff>55723</xdr:colOff>
      <xdr:row>63</xdr:row>
      <xdr:rowOff>60304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C7497A0-BD6F-FE66-8CAF-599B645EF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34</xdr:col>
      <xdr:colOff>107324</xdr:colOff>
      <xdr:row>54</xdr:row>
      <xdr:rowOff>0</xdr:rowOff>
    </xdr:from>
    <xdr:to>
      <xdr:col>39</xdr:col>
      <xdr:colOff>19792</xdr:colOff>
      <xdr:row>58</xdr:row>
      <xdr:rowOff>89065</xdr:rowOff>
    </xdr:to>
    <xdr:sp macro="" textlink="'Dados para gráficos'!J4">
      <xdr:nvSpPr>
        <xdr:cNvPr id="13" name="CaixaDeTexto 12">
          <a:extLst>
            <a:ext uri="{FF2B5EF4-FFF2-40B4-BE49-F238E27FC236}">
              <a16:creationId xmlns:a16="http://schemas.microsoft.com/office/drawing/2014/main" id="{71C010B5-A505-7D5C-D8C1-00B163430064}"/>
            </a:ext>
          </a:extLst>
        </xdr:cNvPr>
        <xdr:cNvSpPr txBox="1"/>
      </xdr:nvSpPr>
      <xdr:spPr>
        <a:xfrm>
          <a:off x="4851042" y="7426817"/>
          <a:ext cx="610074" cy="56129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238BDBF-E378-4225-9632-C6F5E6A204D9}" type="TxLink">
            <a:rPr lang="en-US" sz="2400" b="1" i="0" u="none" strike="noStrike">
              <a:solidFill>
                <a:srgbClr val="7030A0"/>
              </a:solidFill>
              <a:latin typeface="Calibri"/>
              <a:ea typeface="Calibri"/>
              <a:cs typeface="Calibri"/>
            </a:rPr>
            <a:pPr/>
            <a:t>4%</a:t>
          </a:fld>
          <a:endParaRPr lang="pt-BR" sz="2400" b="1">
            <a:solidFill>
              <a:srgbClr val="7030A0"/>
            </a:solidFill>
          </a:endParaRPr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0.31994</cdr:x>
      <cdr:y>0.56742</cdr:y>
    </cdr:from>
    <cdr:to>
      <cdr:x>0.54164</cdr:x>
      <cdr:y>0.76689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A7AFB251-B387-DFD9-EE13-2190AC621F9C}"/>
            </a:ext>
          </a:extLst>
        </cdr:cNvPr>
        <cdr:cNvSpPr txBox="1"/>
      </cdr:nvSpPr>
      <cdr:spPr>
        <a:xfrm xmlns:a="http://schemas.openxmlformats.org/drawingml/2006/main">
          <a:off x="671254" y="1210462"/>
          <a:ext cx="465117" cy="4255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  <cdr:relSizeAnchor xmlns:cdr="http://schemas.openxmlformats.org/drawingml/2006/chartDrawing">
    <cdr:from>
      <cdr:x>0.31051</cdr:x>
      <cdr:y>0.49319</cdr:y>
    </cdr:from>
    <cdr:to>
      <cdr:x>0.66899</cdr:x>
      <cdr:y>0.81328</cdr:y>
    </cdr:to>
    <cdr:sp macro="" textlink="'Dados para gráficos'!$J$2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967F82FF-35DE-3721-1A91-FDBAB61C4320}"/>
            </a:ext>
          </a:extLst>
        </cdr:cNvPr>
        <cdr:cNvSpPr txBox="1"/>
      </cdr:nvSpPr>
      <cdr:spPr>
        <a:xfrm xmlns:a="http://schemas.openxmlformats.org/drawingml/2006/main">
          <a:off x="651462" y="1052124"/>
          <a:ext cx="752104" cy="6828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C6177876-93BC-4FD1-A596-AFB594E11C74}" type="TxLink">
            <a:rPr lang="en-US" sz="2400" b="1" i="0" u="none" strike="noStrike" kern="1200">
              <a:solidFill>
                <a:schemeClr val="accent1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rPr>
            <a:pPr/>
            <a:t>8%</a:t>
          </a:fld>
          <a:endParaRPr lang="pt-BR" sz="2400" b="1" kern="12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0.264</cdr:x>
      <cdr:y>0.47342</cdr:y>
    </cdr:from>
    <cdr:to>
      <cdr:x>0.64135</cdr:x>
      <cdr:y>0.78423</cdr:y>
    </cdr:to>
    <cdr:sp macro="" textlink="'Dados para gráficos'!$J$3">
      <cdr:nvSpPr>
        <cdr:cNvPr id="5" name="CaixaDeTexto 4">
          <a:extLst xmlns:a="http://schemas.openxmlformats.org/drawingml/2006/main">
            <a:ext uri="{FF2B5EF4-FFF2-40B4-BE49-F238E27FC236}">
              <a16:creationId xmlns:a16="http://schemas.microsoft.com/office/drawing/2014/main" id="{12242AA3-B8E1-1056-8CF1-8D0B34D22328}"/>
            </a:ext>
          </a:extLst>
        </cdr:cNvPr>
        <cdr:cNvSpPr txBox="1"/>
      </cdr:nvSpPr>
      <cdr:spPr>
        <a:xfrm xmlns:a="http://schemas.openxmlformats.org/drawingml/2006/main">
          <a:off x="553883" y="1009947"/>
          <a:ext cx="791689" cy="6630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C8FDA384-1F54-4B3C-A4CF-4E9148EEF71F}" type="TxLink">
            <a:rPr lang="en-US" sz="2400" b="1" i="0" u="none" strike="noStrike" kern="1200">
              <a:solidFill>
                <a:srgbClr val="FDA9B3"/>
              </a:solidFill>
              <a:latin typeface="Calibri"/>
              <a:ea typeface="Calibri"/>
              <a:cs typeface="Calibri"/>
            </a:rPr>
            <a:pPr/>
            <a:t>34%</a:t>
          </a:fld>
          <a:endParaRPr lang="pt-BR" sz="2400" b="1" kern="1200">
            <a:solidFill>
              <a:srgbClr val="FDA9B3"/>
            </a:solidFill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0.27409</cdr:x>
      <cdr:y>0.48179</cdr:y>
    </cdr:from>
    <cdr:to>
      <cdr:x>0.67031</cdr:x>
      <cdr:y>0.86218</cdr:y>
    </cdr:to>
    <cdr:sp macro="" textlink="'Dados para gráficos'!$J$5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127115D5-DBA2-5EED-5DC4-C6EB5E03D901}"/>
            </a:ext>
          </a:extLst>
        </cdr:cNvPr>
        <cdr:cNvSpPr txBox="1"/>
      </cdr:nvSpPr>
      <cdr:spPr>
        <a:xfrm xmlns:a="http://schemas.openxmlformats.org/drawingml/2006/main">
          <a:off x="575060" y="1027802"/>
          <a:ext cx="831271" cy="8114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CD3A2A90-7728-4D12-94F9-3D49D0E0729E}" type="TxLink">
            <a:rPr lang="en-US" sz="2400" b="1" i="0" u="none" strike="noStrike" kern="1200">
              <a:solidFill>
                <a:srgbClr val="FF9933"/>
              </a:solidFill>
              <a:latin typeface="Calibri"/>
              <a:ea typeface="Calibri"/>
              <a:cs typeface="Calibri"/>
            </a:rPr>
            <a:pPr/>
            <a:t>45%</a:t>
          </a:fld>
          <a:endParaRPr lang="pt-BR" sz="2400" b="1" kern="1200">
            <a:solidFill>
              <a:srgbClr val="FF9933"/>
            </a:solidFill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0.29598</cdr:x>
      <cdr:y>0.48486</cdr:y>
    </cdr:from>
    <cdr:to>
      <cdr:x>0.61145</cdr:x>
      <cdr:y>0.78066</cdr:y>
    </cdr:to>
    <cdr:sp macro="" textlink="'Dados para gráficos'!$J$6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04435868-E2DF-DA9A-D43E-8BFD2CA87568}"/>
            </a:ext>
          </a:extLst>
        </cdr:cNvPr>
        <cdr:cNvSpPr txBox="1"/>
      </cdr:nvSpPr>
      <cdr:spPr>
        <a:xfrm xmlns:a="http://schemas.openxmlformats.org/drawingml/2006/main">
          <a:off x="584004" y="1028262"/>
          <a:ext cx="622478" cy="6273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8F947A4B-0AB6-4AE9-B971-E358786C7949}" type="TxLink">
            <a:rPr lang="en-US" sz="2400" b="1" i="0" u="none" strike="noStrike" kern="1200">
              <a:solidFill>
                <a:srgbClr val="FFC000"/>
              </a:solidFill>
              <a:latin typeface="Calibri"/>
              <a:ea typeface="Calibri"/>
              <a:cs typeface="Calibri"/>
            </a:rPr>
            <a:pPr/>
            <a:t>5%</a:t>
          </a:fld>
          <a:endParaRPr lang="pt-BR" sz="2400" b="1" kern="1200">
            <a:solidFill>
              <a:srgbClr val="FFC000"/>
            </a:solidFill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0.2973</cdr:x>
      <cdr:y>0.47562</cdr:y>
    </cdr:from>
    <cdr:to>
      <cdr:x>0.61496</cdr:x>
      <cdr:y>0.7769</cdr:y>
    </cdr:to>
    <cdr:sp macro="" textlink="'Dados para gráficos'!$J$7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A4C200BE-A217-3989-801E-2157EF61A1B8}"/>
            </a:ext>
          </a:extLst>
        </cdr:cNvPr>
        <cdr:cNvSpPr txBox="1"/>
      </cdr:nvSpPr>
      <cdr:spPr>
        <a:xfrm xmlns:a="http://schemas.openxmlformats.org/drawingml/2006/main">
          <a:off x="586607" y="1008664"/>
          <a:ext cx="626798" cy="6389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910D3184-06D2-443F-952B-D396208C59A2}" type="TxLink">
            <a:rPr lang="en-US" sz="2400" b="1" i="0" u="none" strike="noStrike" kern="1200">
              <a:solidFill>
                <a:schemeClr val="accent6">
                  <a:lumMod val="75000"/>
                </a:schemeClr>
              </a:solidFill>
              <a:latin typeface="Calibri"/>
              <a:ea typeface="Calibri"/>
              <a:cs typeface="Calibri"/>
            </a:rPr>
            <a:pPr/>
            <a:t>3%</a:t>
          </a:fld>
          <a:endParaRPr lang="pt-BR" sz="2400" b="1" kern="1200">
            <a:solidFill>
              <a:schemeClr val="accent6">
                <a:lumMod val="75000"/>
              </a:schemeClr>
            </a:solidFill>
          </a:endParaRP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17E6DE-498A-4C07-BE95-5FCC047F06B9}" name="TB_Venddas" displayName="TB_Venddas" ref="A2:H64" totalsRowCount="1" headerRowDxfId="32" tableBorderDxfId="31" headerRowCellStyle="subtitulo">
  <autoFilter ref="A2:H63" xr:uid="{1517E6DE-498A-4C07-BE95-5FCC047F06B9}"/>
  <tableColumns count="8">
    <tableColumn id="1" xr3:uid="{BC1082FC-6576-4261-81A1-F4A0A01B41AE}" name="Mês" totalsRowLabel="Total" dataDxfId="30" totalsRowDxfId="1">
      <calculatedColumnFormula>MONTH(TB_Venddas[[#This Row],[Data]])</calculatedColumnFormula>
    </tableColumn>
    <tableColumn id="2" xr3:uid="{124D12BB-7F3F-45DA-9843-5D411992908E}" name="Data" dataDxfId="29"/>
    <tableColumn id="3" xr3:uid="{B96C25C3-829D-47E2-A95C-3F803F18ACCB}" name="Código" dataDxfId="28"/>
    <tableColumn id="4" xr3:uid="{679CA64C-7655-4C9B-B0F7-D541E75F6FDF}" name="Categoria"/>
    <tableColumn id="5" xr3:uid="{E02A2FA0-E29C-4C5E-84F2-6A64044142CE}" name="Quantidade" totalsRowFunction="countNums"/>
    <tableColumn id="8" xr3:uid="{133C24D2-9A8D-4C41-8E99-A7B2922D8756}" name="Valor unitário" dataDxfId="27">
      <calculatedColumnFormula>_xlfn.XLOOKUP(TB_Venddas[[#This Row],[Código]],TB_Produtos[ID Produto],TB_Produtos[Preço por unidade])</calculatedColumnFormula>
    </tableColumn>
    <tableColumn id="6" xr3:uid="{69ED8EF9-8A16-4343-A00B-CDB48A3DBFC2}" name="Total" totalsRowFunction="sum" dataDxfId="26" totalsRowDxfId="0">
      <calculatedColumnFormula>TB_Venddas[[#This Row],[Quantidade]]*TB_Venddas[[#This Row],[Valor unitário]]</calculatedColumnFormula>
    </tableColumn>
    <tableColumn id="7" xr3:uid="{C42AE16A-7C64-44DE-A137-D473FD6B11AD}" name="Vendedor" dataDxfId="2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693356-FA15-490D-BD1A-4E5AE5E9A324}" name="TB_Produtos" displayName="TB_Produtos" ref="A3:I33" totalsRowCount="1" headerRowDxfId="24" dataDxfId="23" totalsRowDxfId="21" tableBorderDxfId="22">
  <autoFilter ref="A3:I32" xr:uid="{48693356-FA15-490D-BD1A-4E5AE5E9A324}"/>
  <sortState xmlns:xlrd2="http://schemas.microsoft.com/office/spreadsheetml/2017/richdata2" ref="A4:I32">
    <sortCondition ref="C4:C32"/>
    <sortCondition descending="1" ref="E4:E32"/>
  </sortState>
  <tableColumns count="9">
    <tableColumn id="1" xr3:uid="{BFC0FAB3-14E3-4B8B-8168-F18D0DE63632}" name="ID Produto" totalsRowLabel="Total" dataDxfId="20" totalsRowDxfId="19"/>
    <tableColumn id="2" xr3:uid="{ACD0FD68-A006-41FC-95B8-AC9A2E0E3189}" name="Nome do Produto" dataDxfId="18" totalsRowDxfId="17"/>
    <tableColumn id="3" xr3:uid="{EA011181-8012-484C-8F74-4547E8C714BE}" name="Categoria" dataDxfId="16" totalsRowDxfId="15"/>
    <tableColumn id="4" xr3:uid="{B6C29EA5-FB80-4E10-AC10-7EE1961B1080}" name="Fornecedor" dataDxfId="14" totalsRowDxfId="13"/>
    <tableColumn id="5" xr3:uid="{C606874F-DF05-4F53-9F9B-5A482CB0D8DB}" name="Quantidade em Estoque" totalsRowFunction="sum" dataDxfId="12" totalsRowDxfId="11"/>
    <tableColumn id="10" xr3:uid="{13D71430-4D8F-47B5-A402-8618B428BDC9}" name="Status Estoque" dataDxfId="10" totalsRowDxfId="9">
      <calculatedColumnFormula>TB_Produtos[[#This Row],[Quantidade em Estoque]]</calculatedColumnFormula>
    </tableColumn>
    <tableColumn id="7" xr3:uid="{46704CAC-E22B-4F76-B2C1-7A7AA53B17D9}" name="Preço por unidade" totalsRowFunction="sum" dataDxfId="8" totalsRowDxfId="7" dataCellStyle="Moeda"/>
    <tableColumn id="12" xr3:uid="{AD45CEF7-358E-4682-A28E-5505088EC40E}" name="Valor com desconto" totalsRowFunction="sum" dataDxfId="6" totalsRowDxfId="5" dataCellStyle="Moeda">
      <calculatedColumnFormula>TB_Produtos[[#This Row],[Preço por unidade]]-(TB_Produtos[[#This Row],[Preço por unidade]]*$K$5)</calculatedColumnFormula>
    </tableColumn>
    <tableColumn id="11" xr3:uid="{5FFD67B1-535B-471F-9A52-7BECE67655CC}" name="Total" totalsRowFunction="sum" dataDxfId="4" totalsRowDxfId="3" dataCellStyle="Moeda">
      <calculatedColumnFormula>TB_Produtos[[#This Row],[Quantidade em Estoque]]*TB_Produtos[[#This Row],[Valor com desconto]]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362A3-9AC1-4962-A774-6030882C55E0}">
  <dimension ref="A1:H64"/>
  <sheetViews>
    <sheetView zoomScale="73" workbookViewId="0">
      <selection activeCell="F4" sqref="F4"/>
    </sheetView>
  </sheetViews>
  <sheetFormatPr defaultRowHeight="14.4" x14ac:dyDescent="0.3"/>
  <cols>
    <col min="1" max="1" width="12.109375" bestFit="1" customWidth="1"/>
    <col min="2" max="2" width="14" customWidth="1"/>
    <col min="3" max="3" width="15.88671875" bestFit="1" customWidth="1"/>
    <col min="4" max="4" width="19" bestFit="1" customWidth="1"/>
    <col min="5" max="5" width="21.21875" bestFit="1" customWidth="1"/>
    <col min="6" max="6" width="22.77734375" bestFit="1" customWidth="1"/>
    <col min="7" max="7" width="18.77734375" bestFit="1" customWidth="1"/>
    <col min="8" max="8" width="17.5546875" bestFit="1" customWidth="1"/>
  </cols>
  <sheetData>
    <row r="1" spans="1:8" ht="24" customHeight="1" thickTop="1" thickBot="1" x14ac:dyDescent="0.35">
      <c r="A1" s="125" t="s">
        <v>157</v>
      </c>
      <c r="B1" s="126"/>
      <c r="C1" s="126"/>
      <c r="D1" s="126"/>
      <c r="E1" s="126"/>
      <c r="F1" s="126"/>
      <c r="G1" s="126"/>
      <c r="H1" s="127"/>
    </row>
    <row r="2" spans="1:8" ht="18.600000000000001" thickTop="1" thickBot="1" x14ac:dyDescent="0.35">
      <c r="A2" s="63" t="s">
        <v>104</v>
      </c>
      <c r="B2" s="63" t="s">
        <v>103</v>
      </c>
      <c r="C2" s="63" t="s">
        <v>102</v>
      </c>
      <c r="D2" s="63" t="s">
        <v>23</v>
      </c>
      <c r="E2" s="63" t="s">
        <v>155</v>
      </c>
      <c r="F2" s="63" t="s">
        <v>173</v>
      </c>
      <c r="G2" s="63" t="s">
        <v>90</v>
      </c>
      <c r="H2" s="63" t="s">
        <v>100</v>
      </c>
    </row>
    <row r="3" spans="1:8" ht="15.6" thickTop="1" x14ac:dyDescent="0.35">
      <c r="A3" s="60">
        <f>MONTH(TB_Venddas[[#This Row],[Data]])</f>
        <v>1</v>
      </c>
      <c r="B3" s="71" t="s">
        <v>154</v>
      </c>
      <c r="C3" s="54" t="s">
        <v>30</v>
      </c>
      <c r="D3" s="53" t="s">
        <v>31</v>
      </c>
      <c r="E3" s="57">
        <v>5</v>
      </c>
      <c r="F3" s="57">
        <f>_xlfn.XLOOKUP(TB_Venddas[[#This Row],[Código]],TB_Produtos[ID Produto],TB_Produtos[Preço por unidade])</f>
        <v>2599</v>
      </c>
      <c r="G3" s="78">
        <f>TB_Venddas[[#This Row],[Quantidade]]*TB_Venddas[[#This Row],[Valor unitário]]</f>
        <v>12995</v>
      </c>
      <c r="H3" s="64" t="s">
        <v>159</v>
      </c>
    </row>
    <row r="4" spans="1:8" ht="15" x14ac:dyDescent="0.35">
      <c r="A4" s="60">
        <f>MONTH(TB_Venddas[[#This Row],[Data]])</f>
        <v>1</v>
      </c>
      <c r="B4" s="72" t="s">
        <v>154</v>
      </c>
      <c r="C4" s="56" t="s">
        <v>30</v>
      </c>
      <c r="D4" s="55" t="s">
        <v>31</v>
      </c>
      <c r="E4" s="58">
        <v>1</v>
      </c>
      <c r="F4" s="57">
        <f>_xlfn.XLOOKUP(TB_Venddas[[#This Row],[Código]],TB_Produtos[ID Produto],TB_Produtos[Preço por unidade])</f>
        <v>2599</v>
      </c>
      <c r="G4" s="59">
        <f>TB_Venddas[[#This Row],[Quantidade]]*TB_Venddas[[#This Row],[Valor unitário]]</f>
        <v>2599</v>
      </c>
      <c r="H4" s="65" t="s">
        <v>158</v>
      </c>
    </row>
    <row r="5" spans="1:8" ht="15" x14ac:dyDescent="0.35">
      <c r="A5" s="60">
        <f>MONTH(TB_Venddas[[#This Row],[Data]])</f>
        <v>1</v>
      </c>
      <c r="B5" s="71" t="s">
        <v>153</v>
      </c>
      <c r="C5" s="54" t="s">
        <v>63</v>
      </c>
      <c r="D5" s="53" t="s">
        <v>41</v>
      </c>
      <c r="E5" s="57">
        <v>5</v>
      </c>
      <c r="F5" s="57">
        <f>_xlfn.XLOOKUP(TB_Venddas[[#This Row],[Código]],TB_Produtos[ID Produto],TB_Produtos[Preço por unidade])</f>
        <v>279.89999999999998</v>
      </c>
      <c r="G5" s="59">
        <f>TB_Venddas[[#This Row],[Quantidade]]*TB_Venddas[[#This Row],[Valor unitário]]</f>
        <v>1399.5</v>
      </c>
      <c r="H5" s="65" t="s">
        <v>158</v>
      </c>
    </row>
    <row r="6" spans="1:8" ht="15" x14ac:dyDescent="0.35">
      <c r="A6" s="60">
        <f>MONTH(TB_Venddas[[#This Row],[Data]])</f>
        <v>1</v>
      </c>
      <c r="B6" s="72">
        <v>46025</v>
      </c>
      <c r="C6" s="56" t="s">
        <v>39</v>
      </c>
      <c r="D6" s="55" t="s">
        <v>37</v>
      </c>
      <c r="E6" s="58">
        <v>3</v>
      </c>
      <c r="F6" s="57">
        <f>_xlfn.XLOOKUP(TB_Venddas[[#This Row],[Código]],TB_Produtos[ID Produto],TB_Produtos[Preço por unidade])</f>
        <v>249</v>
      </c>
      <c r="G6" s="59">
        <f>TB_Venddas[[#This Row],[Quantidade]]*TB_Venddas[[#This Row],[Valor unitário]]</f>
        <v>747</v>
      </c>
      <c r="H6" s="65" t="s">
        <v>158</v>
      </c>
    </row>
    <row r="7" spans="1:8" ht="15" x14ac:dyDescent="0.35">
      <c r="A7" s="60">
        <f>MONTH(TB_Venddas[[#This Row],[Data]])</f>
        <v>1</v>
      </c>
      <c r="B7" s="71" t="s">
        <v>152</v>
      </c>
      <c r="C7" s="54" t="s">
        <v>36</v>
      </c>
      <c r="D7" s="53" t="s">
        <v>37</v>
      </c>
      <c r="E7" s="57">
        <v>1</v>
      </c>
      <c r="F7" s="57">
        <f>_xlfn.XLOOKUP(TB_Venddas[[#This Row],[Código]],TB_Produtos[ID Produto],TB_Produtos[Preço por unidade])</f>
        <v>89.9</v>
      </c>
      <c r="G7" s="59">
        <f>TB_Venddas[[#This Row],[Quantidade]]*TB_Venddas[[#This Row],[Valor unitário]]</f>
        <v>89.9</v>
      </c>
      <c r="H7" s="64" t="s">
        <v>160</v>
      </c>
    </row>
    <row r="8" spans="1:8" ht="15" x14ac:dyDescent="0.35">
      <c r="A8" s="60">
        <f>MONTH(TB_Venddas[[#This Row],[Data]])</f>
        <v>1</v>
      </c>
      <c r="B8" s="72" t="s">
        <v>151</v>
      </c>
      <c r="C8" s="56" t="s">
        <v>73</v>
      </c>
      <c r="D8" s="55" t="s">
        <v>28</v>
      </c>
      <c r="E8" s="58">
        <v>3</v>
      </c>
      <c r="F8" s="57">
        <f>_xlfn.XLOOKUP(TB_Venddas[[#This Row],[Código]],TB_Produtos[ID Produto],TB_Produtos[Preço por unidade])</f>
        <v>589</v>
      </c>
      <c r="G8" s="59">
        <f>TB_Venddas[[#This Row],[Quantidade]]*TB_Venddas[[#This Row],[Valor unitário]]</f>
        <v>1767</v>
      </c>
      <c r="H8" s="64" t="s">
        <v>160</v>
      </c>
    </row>
    <row r="9" spans="1:8" ht="15" x14ac:dyDescent="0.35">
      <c r="A9" s="60">
        <f>MONTH(TB_Venddas[[#This Row],[Data]])</f>
        <v>1</v>
      </c>
      <c r="B9" s="71" t="s">
        <v>150</v>
      </c>
      <c r="C9" s="54" t="s">
        <v>33</v>
      </c>
      <c r="D9" s="53" t="s">
        <v>34</v>
      </c>
      <c r="E9" s="57">
        <v>3</v>
      </c>
      <c r="F9" s="57">
        <f>_xlfn.XLOOKUP(TB_Venddas[[#This Row],[Código]],TB_Produtos[ID Produto],TB_Produtos[Preço por unidade])</f>
        <v>1450</v>
      </c>
      <c r="G9" s="59">
        <f>TB_Venddas[[#This Row],[Quantidade]]*TB_Venddas[[#This Row],[Valor unitário]]</f>
        <v>4350</v>
      </c>
      <c r="H9" s="64" t="s">
        <v>158</v>
      </c>
    </row>
    <row r="10" spans="1:8" ht="15" x14ac:dyDescent="0.35">
      <c r="A10" s="60">
        <f>MONTH(TB_Venddas[[#This Row],[Data]])</f>
        <v>1</v>
      </c>
      <c r="B10" s="72" t="s">
        <v>149</v>
      </c>
      <c r="C10" s="56" t="s">
        <v>46</v>
      </c>
      <c r="D10" s="55" t="s">
        <v>28</v>
      </c>
      <c r="E10" s="58">
        <v>5</v>
      </c>
      <c r="F10" s="57">
        <f>_xlfn.XLOOKUP(TB_Venddas[[#This Row],[Código]],TB_Produtos[ID Produto],TB_Produtos[Preço por unidade])</f>
        <v>450</v>
      </c>
      <c r="G10" s="59">
        <f>TB_Venddas[[#This Row],[Quantidade]]*TB_Venddas[[#This Row],[Valor unitário]]</f>
        <v>2250</v>
      </c>
      <c r="H10" s="65" t="s">
        <v>160</v>
      </c>
    </row>
    <row r="11" spans="1:8" ht="15" x14ac:dyDescent="0.35">
      <c r="A11" s="60">
        <f>MONTH(TB_Venddas[[#This Row],[Data]])</f>
        <v>1</v>
      </c>
      <c r="B11" s="71" t="s">
        <v>148</v>
      </c>
      <c r="C11" s="54" t="s">
        <v>69</v>
      </c>
      <c r="D11" s="53" t="s">
        <v>28</v>
      </c>
      <c r="E11" s="57">
        <v>5</v>
      </c>
      <c r="F11" s="57">
        <f>_xlfn.XLOOKUP(TB_Venddas[[#This Row],[Código]],TB_Produtos[ID Produto],TB_Produtos[Preço por unidade])</f>
        <v>350</v>
      </c>
      <c r="G11" s="59">
        <f>TB_Venddas[[#This Row],[Quantidade]]*TB_Venddas[[#This Row],[Valor unitário]]</f>
        <v>1750</v>
      </c>
      <c r="H11" s="64" t="s">
        <v>158</v>
      </c>
    </row>
    <row r="12" spans="1:8" ht="15" x14ac:dyDescent="0.35">
      <c r="A12" s="60">
        <f>MONTH(TB_Venddas[[#This Row],[Data]])</f>
        <v>1</v>
      </c>
      <c r="B12" s="72" t="s">
        <v>147</v>
      </c>
      <c r="C12" s="56" t="s">
        <v>61</v>
      </c>
      <c r="D12" s="55" t="s">
        <v>37</v>
      </c>
      <c r="E12" s="58">
        <v>4</v>
      </c>
      <c r="F12" s="57">
        <f>_xlfn.XLOOKUP(TB_Venddas[[#This Row],[Código]],TB_Produtos[ID Produto],TB_Produtos[Preço por unidade])</f>
        <v>299</v>
      </c>
      <c r="G12" s="59">
        <f>TB_Venddas[[#This Row],[Quantidade]]*TB_Venddas[[#This Row],[Valor unitário]]</f>
        <v>1196</v>
      </c>
      <c r="H12" s="64" t="s">
        <v>158</v>
      </c>
    </row>
    <row r="13" spans="1:8" ht="15" x14ac:dyDescent="0.35">
      <c r="A13" s="60">
        <f>MONTH(TB_Venddas[[#This Row],[Data]])</f>
        <v>1</v>
      </c>
      <c r="B13" s="71" t="s">
        <v>147</v>
      </c>
      <c r="C13" s="54" t="s">
        <v>51</v>
      </c>
      <c r="D13" s="53" t="s">
        <v>28</v>
      </c>
      <c r="E13" s="57">
        <v>1</v>
      </c>
      <c r="F13" s="57">
        <f>_xlfn.XLOOKUP(TB_Venddas[[#This Row],[Código]],TB_Produtos[ID Produto],TB_Produtos[Preço por unidade])</f>
        <v>1199</v>
      </c>
      <c r="G13" s="59">
        <f>TB_Venddas[[#This Row],[Quantidade]]*TB_Venddas[[#This Row],[Valor unitário]]</f>
        <v>1199</v>
      </c>
      <c r="H13" s="64" t="s">
        <v>158</v>
      </c>
    </row>
    <row r="14" spans="1:8" ht="15" x14ac:dyDescent="0.35">
      <c r="A14" s="60">
        <f>MONTH(TB_Venddas[[#This Row],[Data]])</f>
        <v>1</v>
      </c>
      <c r="B14" s="72" t="s">
        <v>146</v>
      </c>
      <c r="C14" s="56" t="s">
        <v>27</v>
      </c>
      <c r="D14" s="55" t="s">
        <v>28</v>
      </c>
      <c r="E14" s="58">
        <v>3</v>
      </c>
      <c r="F14" s="57">
        <f>_xlfn.XLOOKUP(TB_Venddas[[#This Row],[Código]],TB_Produtos[ID Produto],TB_Produtos[Preço por unidade])</f>
        <v>3499</v>
      </c>
      <c r="G14" s="59">
        <f>TB_Venddas[[#This Row],[Quantidade]]*TB_Venddas[[#This Row],[Valor unitário]]</f>
        <v>10497</v>
      </c>
      <c r="H14" s="65" t="s">
        <v>160</v>
      </c>
    </row>
    <row r="15" spans="1:8" ht="15" x14ac:dyDescent="0.35">
      <c r="A15" s="60">
        <f>MONTH(TB_Venddas[[#This Row],[Data]])</f>
        <v>1</v>
      </c>
      <c r="B15" s="71" t="s">
        <v>146</v>
      </c>
      <c r="C15" s="54" t="s">
        <v>65</v>
      </c>
      <c r="D15" s="53" t="s">
        <v>44</v>
      </c>
      <c r="E15" s="57">
        <v>1</v>
      </c>
      <c r="F15" s="57">
        <f>_xlfn.XLOOKUP(TB_Venddas[[#This Row],[Código]],TB_Produtos[ID Produto],TB_Produtos[Preço por unidade])</f>
        <v>169</v>
      </c>
      <c r="G15" s="59">
        <f>TB_Venddas[[#This Row],[Quantidade]]*TB_Venddas[[#This Row],[Valor unitário]]</f>
        <v>169</v>
      </c>
      <c r="H15" s="65" t="s">
        <v>160</v>
      </c>
    </row>
    <row r="16" spans="1:8" ht="15" x14ac:dyDescent="0.35">
      <c r="A16" s="60">
        <f>MONTH(TB_Venddas[[#This Row],[Data]])</f>
        <v>2</v>
      </c>
      <c r="B16" s="72" t="s">
        <v>145</v>
      </c>
      <c r="C16" s="56" t="s">
        <v>49</v>
      </c>
      <c r="D16" s="55" t="s">
        <v>37</v>
      </c>
      <c r="E16" s="58">
        <v>1</v>
      </c>
      <c r="F16" s="57">
        <f>_xlfn.XLOOKUP(TB_Venddas[[#This Row],[Código]],TB_Produtos[ID Produto],TB_Produtos[Preço por unidade])</f>
        <v>39.9</v>
      </c>
      <c r="G16" s="59">
        <f>TB_Venddas[[#This Row],[Quantidade]]*TB_Venddas[[#This Row],[Valor unitário]]</f>
        <v>39.9</v>
      </c>
      <c r="H16" s="65" t="s">
        <v>160</v>
      </c>
    </row>
    <row r="17" spans="1:8" ht="15" x14ac:dyDescent="0.35">
      <c r="A17" s="60">
        <f>MONTH(TB_Venddas[[#This Row],[Data]])</f>
        <v>2</v>
      </c>
      <c r="B17" s="71" t="s">
        <v>144</v>
      </c>
      <c r="C17" s="54" t="s">
        <v>79</v>
      </c>
      <c r="D17" s="53" t="s">
        <v>31</v>
      </c>
      <c r="E17" s="57">
        <v>4</v>
      </c>
      <c r="F17" s="57">
        <f>_xlfn.XLOOKUP(TB_Venddas[[#This Row],[Código]],TB_Produtos[ID Produto],TB_Produtos[Preço por unidade])</f>
        <v>149</v>
      </c>
      <c r="G17" s="59">
        <f>TB_Venddas[[#This Row],[Quantidade]]*TB_Venddas[[#This Row],[Valor unitário]]</f>
        <v>596</v>
      </c>
      <c r="H17" s="65" t="s">
        <v>160</v>
      </c>
    </row>
    <row r="18" spans="1:8" ht="15" x14ac:dyDescent="0.35">
      <c r="A18" s="60">
        <f>MONTH(TB_Venddas[[#This Row],[Data]])</f>
        <v>2</v>
      </c>
      <c r="B18" s="72" t="s">
        <v>143</v>
      </c>
      <c r="C18" s="56" t="s">
        <v>79</v>
      </c>
      <c r="D18" s="55" t="s">
        <v>31</v>
      </c>
      <c r="E18" s="58">
        <v>1</v>
      </c>
      <c r="F18" s="57">
        <f>_xlfn.XLOOKUP(TB_Venddas[[#This Row],[Código]],TB_Produtos[ID Produto],TB_Produtos[Preço por unidade])</f>
        <v>149</v>
      </c>
      <c r="G18" s="59">
        <f>TB_Venddas[[#This Row],[Quantidade]]*TB_Venddas[[#This Row],[Valor unitário]]</f>
        <v>149</v>
      </c>
      <c r="H18" s="65" t="s">
        <v>160</v>
      </c>
    </row>
    <row r="19" spans="1:8" ht="15" x14ac:dyDescent="0.35">
      <c r="A19" s="60">
        <f>MONTH(TB_Venddas[[#This Row],[Data]])</f>
        <v>2</v>
      </c>
      <c r="B19" s="71" t="s">
        <v>142</v>
      </c>
      <c r="C19" s="54" t="s">
        <v>53</v>
      </c>
      <c r="D19" s="53" t="s">
        <v>28</v>
      </c>
      <c r="E19" s="57">
        <v>2</v>
      </c>
      <c r="F19" s="57">
        <f>_xlfn.XLOOKUP(TB_Venddas[[#This Row],[Código]],TB_Produtos[ID Produto],TB_Produtos[Preço por unidade])</f>
        <v>320</v>
      </c>
      <c r="G19" s="59">
        <f>TB_Venddas[[#This Row],[Quantidade]]*TB_Venddas[[#This Row],[Valor unitário]]</f>
        <v>640</v>
      </c>
      <c r="H19" s="64" t="s">
        <v>158</v>
      </c>
    </row>
    <row r="20" spans="1:8" ht="15" x14ac:dyDescent="0.35">
      <c r="A20" s="60">
        <f>MONTH(TB_Venddas[[#This Row],[Data]])</f>
        <v>2</v>
      </c>
      <c r="B20" s="72" t="s">
        <v>141</v>
      </c>
      <c r="C20" s="56" t="s">
        <v>69</v>
      </c>
      <c r="D20" s="55" t="s">
        <v>28</v>
      </c>
      <c r="E20" s="58">
        <v>4</v>
      </c>
      <c r="F20" s="57">
        <f>_xlfn.XLOOKUP(TB_Venddas[[#This Row],[Código]],TB_Produtos[ID Produto],TB_Produtos[Preço por unidade])</f>
        <v>350</v>
      </c>
      <c r="G20" s="59">
        <f>TB_Venddas[[#This Row],[Quantidade]]*TB_Venddas[[#This Row],[Valor unitário]]</f>
        <v>1400</v>
      </c>
      <c r="H20" s="65" t="s">
        <v>160</v>
      </c>
    </row>
    <row r="21" spans="1:8" ht="15" x14ac:dyDescent="0.35">
      <c r="A21" s="60">
        <f>MONTH(TB_Venddas[[#This Row],[Data]])</f>
        <v>2</v>
      </c>
      <c r="B21" s="71" t="s">
        <v>140</v>
      </c>
      <c r="C21" s="54" t="s">
        <v>81</v>
      </c>
      <c r="D21" s="53" t="s">
        <v>41</v>
      </c>
      <c r="E21" s="57">
        <v>5</v>
      </c>
      <c r="F21" s="57">
        <f>_xlfn.XLOOKUP(TB_Venddas[[#This Row],[Código]],TB_Produtos[ID Produto],TB_Produtos[Preço por unidade])</f>
        <v>349</v>
      </c>
      <c r="G21" s="59">
        <f>TB_Venddas[[#This Row],[Quantidade]]*TB_Venddas[[#This Row],[Valor unitário]]</f>
        <v>1745</v>
      </c>
      <c r="H21" s="65" t="s">
        <v>160</v>
      </c>
    </row>
    <row r="22" spans="1:8" ht="15" x14ac:dyDescent="0.35">
      <c r="A22" s="60">
        <f>MONTH(TB_Venddas[[#This Row],[Data]])</f>
        <v>2</v>
      </c>
      <c r="B22" s="72" t="s">
        <v>139</v>
      </c>
      <c r="C22" s="56" t="s">
        <v>57</v>
      </c>
      <c r="D22" s="55" t="s">
        <v>31</v>
      </c>
      <c r="E22" s="58">
        <v>5</v>
      </c>
      <c r="F22" s="57">
        <f>_xlfn.XLOOKUP(TB_Venddas[[#This Row],[Código]],TB_Produtos[ID Produto],TB_Produtos[Preço por unidade])</f>
        <v>89.9</v>
      </c>
      <c r="G22" s="59">
        <f>TB_Venddas[[#This Row],[Quantidade]]*TB_Venddas[[#This Row],[Valor unitário]]</f>
        <v>449.5</v>
      </c>
      <c r="H22" s="65" t="s">
        <v>160</v>
      </c>
    </row>
    <row r="23" spans="1:8" ht="15" x14ac:dyDescent="0.35">
      <c r="A23" s="60">
        <f>MONTH(TB_Venddas[[#This Row],[Data]])</f>
        <v>2</v>
      </c>
      <c r="B23" s="71" t="s">
        <v>138</v>
      </c>
      <c r="C23" s="54" t="s">
        <v>63</v>
      </c>
      <c r="D23" s="53" t="s">
        <v>41</v>
      </c>
      <c r="E23" s="57">
        <v>2</v>
      </c>
      <c r="F23" s="57">
        <f>_xlfn.XLOOKUP(TB_Venddas[[#This Row],[Código]],TB_Produtos[ID Produto],TB_Produtos[Preço por unidade])</f>
        <v>279.89999999999998</v>
      </c>
      <c r="G23" s="59">
        <f>TB_Venddas[[#This Row],[Quantidade]]*TB_Venddas[[#This Row],[Valor unitário]]</f>
        <v>559.79999999999995</v>
      </c>
      <c r="H23" s="65" t="s">
        <v>160</v>
      </c>
    </row>
    <row r="24" spans="1:8" ht="15" x14ac:dyDescent="0.35">
      <c r="A24" s="60">
        <f>MONTH(TB_Venddas[[#This Row],[Data]])</f>
        <v>2</v>
      </c>
      <c r="B24" s="72" t="s">
        <v>137</v>
      </c>
      <c r="C24" s="56" t="s">
        <v>77</v>
      </c>
      <c r="D24" s="55" t="s">
        <v>37</v>
      </c>
      <c r="E24" s="58">
        <v>2</v>
      </c>
      <c r="F24" s="57">
        <f>_xlfn.XLOOKUP(TB_Venddas[[#This Row],[Código]],TB_Produtos[ID Produto],TB_Produtos[Preço por unidade])</f>
        <v>129.9</v>
      </c>
      <c r="G24" s="59">
        <f>TB_Venddas[[#This Row],[Quantidade]]*TB_Venddas[[#This Row],[Valor unitário]]</f>
        <v>259.8</v>
      </c>
      <c r="H24" s="65" t="s">
        <v>158</v>
      </c>
    </row>
    <row r="25" spans="1:8" ht="15" x14ac:dyDescent="0.35">
      <c r="A25" s="60">
        <f>MONTH(TB_Venddas[[#This Row],[Data]])</f>
        <v>2</v>
      </c>
      <c r="B25" s="71" t="s">
        <v>136</v>
      </c>
      <c r="C25" s="54" t="s">
        <v>65</v>
      </c>
      <c r="D25" s="53" t="s">
        <v>44</v>
      </c>
      <c r="E25" s="57">
        <v>1</v>
      </c>
      <c r="F25" s="57">
        <f>_xlfn.XLOOKUP(TB_Venddas[[#This Row],[Código]],TB_Produtos[ID Produto],TB_Produtos[Preço por unidade])</f>
        <v>169</v>
      </c>
      <c r="G25" s="59">
        <f>TB_Venddas[[#This Row],[Quantidade]]*TB_Venddas[[#This Row],[Valor unitário]]</f>
        <v>169</v>
      </c>
      <c r="H25" s="64" t="s">
        <v>159</v>
      </c>
    </row>
    <row r="26" spans="1:8" ht="15" x14ac:dyDescent="0.35">
      <c r="A26" s="60">
        <f>MONTH(TB_Venddas[[#This Row],[Data]])</f>
        <v>3</v>
      </c>
      <c r="B26" s="72" t="s">
        <v>135</v>
      </c>
      <c r="C26" s="56" t="s">
        <v>63</v>
      </c>
      <c r="D26" s="55" t="s">
        <v>41</v>
      </c>
      <c r="E26" s="58">
        <v>1</v>
      </c>
      <c r="F26" s="57">
        <f>_xlfn.XLOOKUP(TB_Venddas[[#This Row],[Código]],TB_Produtos[ID Produto],TB_Produtos[Preço por unidade])</f>
        <v>279.89999999999998</v>
      </c>
      <c r="G26" s="59">
        <f>TB_Venddas[[#This Row],[Quantidade]]*TB_Venddas[[#This Row],[Valor unitário]]</f>
        <v>279.89999999999998</v>
      </c>
      <c r="H26" s="64" t="s">
        <v>159</v>
      </c>
    </row>
    <row r="27" spans="1:8" ht="15" x14ac:dyDescent="0.35">
      <c r="A27" s="60">
        <f>MONTH(TB_Venddas[[#This Row],[Data]])</f>
        <v>3</v>
      </c>
      <c r="B27" s="71" t="s">
        <v>134</v>
      </c>
      <c r="C27" s="54" t="s">
        <v>36</v>
      </c>
      <c r="D27" s="53" t="s">
        <v>37</v>
      </c>
      <c r="E27" s="57">
        <v>2</v>
      </c>
      <c r="F27" s="57">
        <f>_xlfn.XLOOKUP(TB_Venddas[[#This Row],[Código]],TB_Produtos[ID Produto],TB_Produtos[Preço por unidade])</f>
        <v>89.9</v>
      </c>
      <c r="G27" s="59">
        <f>TB_Venddas[[#This Row],[Quantidade]]*TB_Venddas[[#This Row],[Valor unitário]]</f>
        <v>179.8</v>
      </c>
      <c r="H27" s="64" t="s">
        <v>159</v>
      </c>
    </row>
    <row r="28" spans="1:8" ht="15" x14ac:dyDescent="0.35">
      <c r="A28" s="60">
        <f>MONTH(TB_Venddas[[#This Row],[Data]])</f>
        <v>3</v>
      </c>
      <c r="B28" s="72" t="s">
        <v>133</v>
      </c>
      <c r="C28" s="56" t="s">
        <v>39</v>
      </c>
      <c r="D28" s="55" t="s">
        <v>37</v>
      </c>
      <c r="E28" s="58">
        <v>5</v>
      </c>
      <c r="F28" s="57">
        <f>_xlfn.XLOOKUP(TB_Venddas[[#This Row],[Código]],TB_Produtos[ID Produto],TB_Produtos[Preço por unidade])</f>
        <v>249</v>
      </c>
      <c r="G28" s="59">
        <f>TB_Venddas[[#This Row],[Quantidade]]*TB_Venddas[[#This Row],[Valor unitário]]</f>
        <v>1245</v>
      </c>
      <c r="H28" s="65" t="s">
        <v>158</v>
      </c>
    </row>
    <row r="29" spans="1:8" ht="15" x14ac:dyDescent="0.35">
      <c r="A29" s="60">
        <f>MONTH(TB_Venddas[[#This Row],[Data]])</f>
        <v>3</v>
      </c>
      <c r="B29" s="71" t="s">
        <v>133</v>
      </c>
      <c r="C29" s="54" t="s">
        <v>61</v>
      </c>
      <c r="D29" s="53" t="s">
        <v>37</v>
      </c>
      <c r="E29" s="57">
        <v>3</v>
      </c>
      <c r="F29" s="57">
        <f>_xlfn.XLOOKUP(TB_Venddas[[#This Row],[Código]],TB_Produtos[ID Produto],TB_Produtos[Preço por unidade])</f>
        <v>299</v>
      </c>
      <c r="G29" s="59">
        <f>TB_Venddas[[#This Row],[Quantidade]]*TB_Venddas[[#This Row],[Valor unitário]]</f>
        <v>897</v>
      </c>
      <c r="H29" s="65" t="s">
        <v>158</v>
      </c>
    </row>
    <row r="30" spans="1:8" ht="15" x14ac:dyDescent="0.35">
      <c r="A30" s="60">
        <f>MONTH(TB_Venddas[[#This Row],[Data]])</f>
        <v>3</v>
      </c>
      <c r="B30" s="72" t="s">
        <v>132</v>
      </c>
      <c r="C30" s="56" t="s">
        <v>77</v>
      </c>
      <c r="D30" s="55" t="s">
        <v>37</v>
      </c>
      <c r="E30" s="58">
        <v>3</v>
      </c>
      <c r="F30" s="57">
        <f>_xlfn.XLOOKUP(TB_Venddas[[#This Row],[Código]],TB_Produtos[ID Produto],TB_Produtos[Preço por unidade])</f>
        <v>129.9</v>
      </c>
      <c r="G30" s="59">
        <f>TB_Venddas[[#This Row],[Quantidade]]*TB_Venddas[[#This Row],[Valor unitário]]</f>
        <v>389.70000000000005</v>
      </c>
      <c r="H30" s="65" t="s">
        <v>158</v>
      </c>
    </row>
    <row r="31" spans="1:8" ht="15" x14ac:dyDescent="0.35">
      <c r="A31" s="60">
        <f>MONTH(TB_Venddas[[#This Row],[Data]])</f>
        <v>3</v>
      </c>
      <c r="B31" s="71" t="s">
        <v>131</v>
      </c>
      <c r="C31" s="54" t="s">
        <v>50</v>
      </c>
      <c r="D31" s="53" t="s">
        <v>28</v>
      </c>
      <c r="E31" s="57">
        <v>4</v>
      </c>
      <c r="F31" s="57">
        <f>_xlfn.XLOOKUP(TB_Venddas[[#This Row],[Código]],TB_Produtos[ID Produto],TB_Produtos[Preço por unidade])</f>
        <v>2299</v>
      </c>
      <c r="G31" s="59">
        <f>TB_Venddas[[#This Row],[Quantidade]]*TB_Venddas[[#This Row],[Valor unitário]]</f>
        <v>9196</v>
      </c>
      <c r="H31" s="64" t="s">
        <v>160</v>
      </c>
    </row>
    <row r="32" spans="1:8" ht="15" x14ac:dyDescent="0.35">
      <c r="A32" s="60">
        <f>MONTH(TB_Venddas[[#This Row],[Data]])</f>
        <v>3</v>
      </c>
      <c r="B32" s="72" t="s">
        <v>130</v>
      </c>
      <c r="C32" s="56" t="s">
        <v>33</v>
      </c>
      <c r="D32" s="55" t="s">
        <v>34</v>
      </c>
      <c r="E32" s="58">
        <v>2</v>
      </c>
      <c r="F32" s="57">
        <f>_xlfn.XLOOKUP(TB_Venddas[[#This Row],[Código]],TB_Produtos[ID Produto],TB_Produtos[Preço por unidade])</f>
        <v>1450</v>
      </c>
      <c r="G32" s="59">
        <f>TB_Venddas[[#This Row],[Quantidade]]*TB_Venddas[[#This Row],[Valor unitário]]</f>
        <v>2900</v>
      </c>
      <c r="H32" s="64" t="s">
        <v>160</v>
      </c>
    </row>
    <row r="33" spans="1:8" ht="15" x14ac:dyDescent="0.35">
      <c r="A33" s="60">
        <f>MONTH(TB_Venddas[[#This Row],[Data]])</f>
        <v>3</v>
      </c>
      <c r="B33" s="71" t="s">
        <v>129</v>
      </c>
      <c r="C33" s="54" t="s">
        <v>77</v>
      </c>
      <c r="D33" s="53" t="s">
        <v>37</v>
      </c>
      <c r="E33" s="57">
        <v>4</v>
      </c>
      <c r="F33" s="57">
        <f>_xlfn.XLOOKUP(TB_Venddas[[#This Row],[Código]],TB_Produtos[ID Produto],TB_Produtos[Preço por unidade])</f>
        <v>129.9</v>
      </c>
      <c r="G33" s="59">
        <f>TB_Venddas[[#This Row],[Quantidade]]*TB_Venddas[[#This Row],[Valor unitário]]</f>
        <v>519.6</v>
      </c>
      <c r="H33" s="64" t="s">
        <v>160</v>
      </c>
    </row>
    <row r="34" spans="1:8" ht="15" x14ac:dyDescent="0.35">
      <c r="A34" s="60">
        <f>MONTH(TB_Venddas[[#This Row],[Data]])</f>
        <v>3</v>
      </c>
      <c r="B34" s="72" t="s">
        <v>128</v>
      </c>
      <c r="C34" s="56" t="s">
        <v>77</v>
      </c>
      <c r="D34" s="55" t="s">
        <v>37</v>
      </c>
      <c r="E34" s="58">
        <v>4</v>
      </c>
      <c r="F34" s="57">
        <f>_xlfn.XLOOKUP(TB_Venddas[[#This Row],[Código]],TB_Produtos[ID Produto],TB_Produtos[Preço por unidade])</f>
        <v>129.9</v>
      </c>
      <c r="G34" s="59">
        <f>TB_Venddas[[#This Row],[Quantidade]]*TB_Venddas[[#This Row],[Valor unitário]]</f>
        <v>519.6</v>
      </c>
      <c r="H34" s="65" t="s">
        <v>159</v>
      </c>
    </row>
    <row r="35" spans="1:8" ht="15" x14ac:dyDescent="0.35">
      <c r="A35" s="60">
        <f>MONTH(TB_Venddas[[#This Row],[Data]])</f>
        <v>3</v>
      </c>
      <c r="B35" s="71" t="s">
        <v>127</v>
      </c>
      <c r="C35" s="54" t="s">
        <v>83</v>
      </c>
      <c r="D35" s="53" t="s">
        <v>37</v>
      </c>
      <c r="E35" s="57">
        <v>5</v>
      </c>
      <c r="F35" s="57">
        <f>_xlfn.XLOOKUP(TB_Venddas[[#This Row],[Código]],TB_Produtos[ID Produto],TB_Produtos[Preço por unidade])</f>
        <v>49.9</v>
      </c>
      <c r="G35" s="59">
        <f>TB_Venddas[[#This Row],[Quantidade]]*TB_Venddas[[#This Row],[Valor unitário]]</f>
        <v>249.5</v>
      </c>
      <c r="H35" s="64" t="s">
        <v>158</v>
      </c>
    </row>
    <row r="36" spans="1:8" ht="15" x14ac:dyDescent="0.35">
      <c r="A36" s="60">
        <f>MONTH(TB_Venddas[[#This Row],[Data]])</f>
        <v>3</v>
      </c>
      <c r="B36" s="72" t="s">
        <v>126</v>
      </c>
      <c r="C36" s="56" t="s">
        <v>30</v>
      </c>
      <c r="D36" s="55" t="s">
        <v>31</v>
      </c>
      <c r="E36" s="58">
        <v>5</v>
      </c>
      <c r="F36" s="57">
        <f>_xlfn.XLOOKUP(TB_Venddas[[#This Row],[Código]],TB_Produtos[ID Produto],TB_Produtos[Preço por unidade])</f>
        <v>2599</v>
      </c>
      <c r="G36" s="59">
        <f>TB_Venddas[[#This Row],[Quantidade]]*TB_Venddas[[#This Row],[Valor unitário]]</f>
        <v>12995</v>
      </c>
      <c r="H36" s="65" t="s">
        <v>158</v>
      </c>
    </row>
    <row r="37" spans="1:8" ht="15" x14ac:dyDescent="0.35">
      <c r="A37" s="60">
        <f>MONTH(TB_Venddas[[#This Row],[Data]])</f>
        <v>3</v>
      </c>
      <c r="B37" s="71" t="s">
        <v>125</v>
      </c>
      <c r="C37" s="54" t="s">
        <v>77</v>
      </c>
      <c r="D37" s="53" t="s">
        <v>37</v>
      </c>
      <c r="E37" s="57">
        <v>3</v>
      </c>
      <c r="F37" s="57">
        <f>_xlfn.XLOOKUP(TB_Venddas[[#This Row],[Código]],TB_Produtos[ID Produto],TB_Produtos[Preço por unidade])</f>
        <v>129.9</v>
      </c>
      <c r="G37" s="59">
        <f>TB_Venddas[[#This Row],[Quantidade]]*TB_Venddas[[#This Row],[Valor unitário]]</f>
        <v>389.70000000000005</v>
      </c>
      <c r="H37" s="64" t="s">
        <v>160</v>
      </c>
    </row>
    <row r="38" spans="1:8" ht="15" x14ac:dyDescent="0.35">
      <c r="A38" s="60">
        <f>MONTH(TB_Venddas[[#This Row],[Data]])</f>
        <v>4</v>
      </c>
      <c r="B38" s="72" t="s">
        <v>124</v>
      </c>
      <c r="C38" s="56" t="s">
        <v>75</v>
      </c>
      <c r="D38" s="55" t="s">
        <v>37</v>
      </c>
      <c r="E38" s="58">
        <v>5</v>
      </c>
      <c r="F38" s="57">
        <f>_xlfn.XLOOKUP(TB_Venddas[[#This Row],[Código]],TB_Produtos[ID Produto],TB_Produtos[Preço por unidade])</f>
        <v>159</v>
      </c>
      <c r="G38" s="59">
        <f>TB_Venddas[[#This Row],[Quantidade]]*TB_Venddas[[#This Row],[Valor unitário]]</f>
        <v>795</v>
      </c>
      <c r="H38" s="65" t="s">
        <v>159</v>
      </c>
    </row>
    <row r="39" spans="1:8" ht="15" x14ac:dyDescent="0.35">
      <c r="A39" s="60">
        <f>MONTH(TB_Venddas[[#This Row],[Data]])</f>
        <v>4</v>
      </c>
      <c r="B39" s="71" t="s">
        <v>123</v>
      </c>
      <c r="C39" s="54" t="s">
        <v>30</v>
      </c>
      <c r="D39" s="53" t="s">
        <v>31</v>
      </c>
      <c r="E39" s="57">
        <v>5</v>
      </c>
      <c r="F39" s="57">
        <f>_xlfn.XLOOKUP(TB_Venddas[[#This Row],[Código]],TB_Produtos[ID Produto],TB_Produtos[Preço por unidade])</f>
        <v>2599</v>
      </c>
      <c r="G39" s="59">
        <f>TB_Venddas[[#This Row],[Quantidade]]*TB_Venddas[[#This Row],[Valor unitário]]</f>
        <v>12995</v>
      </c>
      <c r="H39" s="65" t="s">
        <v>159</v>
      </c>
    </row>
    <row r="40" spans="1:8" ht="15" x14ac:dyDescent="0.35">
      <c r="A40" s="60">
        <f>MONTH(TB_Venddas[[#This Row],[Data]])</f>
        <v>4</v>
      </c>
      <c r="B40" s="72" t="s">
        <v>122</v>
      </c>
      <c r="C40" s="56" t="s">
        <v>39</v>
      </c>
      <c r="D40" s="55" t="s">
        <v>37</v>
      </c>
      <c r="E40" s="58">
        <v>5</v>
      </c>
      <c r="F40" s="57">
        <f>_xlfn.XLOOKUP(TB_Venddas[[#This Row],[Código]],TB_Produtos[ID Produto],TB_Produtos[Preço por unidade])</f>
        <v>249</v>
      </c>
      <c r="G40" s="59">
        <f>TB_Venddas[[#This Row],[Quantidade]]*TB_Venddas[[#This Row],[Valor unitário]]</f>
        <v>1245</v>
      </c>
      <c r="H40" s="65" t="s">
        <v>159</v>
      </c>
    </row>
    <row r="41" spans="1:8" ht="15" x14ac:dyDescent="0.35">
      <c r="A41" s="60">
        <f>MONTH(TB_Venddas[[#This Row],[Data]])</f>
        <v>4</v>
      </c>
      <c r="B41" s="71" t="s">
        <v>122</v>
      </c>
      <c r="C41" s="54" t="s">
        <v>50</v>
      </c>
      <c r="D41" s="53" t="s">
        <v>28</v>
      </c>
      <c r="E41" s="57">
        <v>5</v>
      </c>
      <c r="F41" s="57">
        <f>_xlfn.XLOOKUP(TB_Venddas[[#This Row],[Código]],TB_Produtos[ID Produto],TB_Produtos[Preço por unidade])</f>
        <v>2299</v>
      </c>
      <c r="G41" s="59">
        <f>TB_Venddas[[#This Row],[Quantidade]]*TB_Venddas[[#This Row],[Valor unitário]]</f>
        <v>11495</v>
      </c>
      <c r="H41" s="65" t="s">
        <v>159</v>
      </c>
    </row>
    <row r="42" spans="1:8" ht="15" x14ac:dyDescent="0.35">
      <c r="A42" s="60">
        <f>MONTH(TB_Venddas[[#This Row],[Data]])</f>
        <v>4</v>
      </c>
      <c r="B42" s="72" t="s">
        <v>121</v>
      </c>
      <c r="C42" s="56" t="s">
        <v>43</v>
      </c>
      <c r="D42" s="55" t="s">
        <v>44</v>
      </c>
      <c r="E42" s="58">
        <v>4</v>
      </c>
      <c r="F42" s="57">
        <f>_xlfn.XLOOKUP(TB_Venddas[[#This Row],[Código]],TB_Produtos[ID Produto],TB_Produtos[Preço por unidade])</f>
        <v>389</v>
      </c>
      <c r="G42" s="59">
        <f>TB_Venddas[[#This Row],[Quantidade]]*TB_Venddas[[#This Row],[Valor unitário]]</f>
        <v>1556</v>
      </c>
      <c r="H42" s="65" t="s">
        <v>160</v>
      </c>
    </row>
    <row r="43" spans="1:8" ht="15" x14ac:dyDescent="0.35">
      <c r="A43" s="60">
        <f>MONTH(TB_Venddas[[#This Row],[Data]])</f>
        <v>4</v>
      </c>
      <c r="B43" s="71" t="s">
        <v>121</v>
      </c>
      <c r="C43" s="54" t="s">
        <v>46</v>
      </c>
      <c r="D43" s="53" t="s">
        <v>28</v>
      </c>
      <c r="E43" s="57">
        <v>5</v>
      </c>
      <c r="F43" s="57">
        <f>_xlfn.XLOOKUP(TB_Venddas[[#This Row],[Código]],TB_Produtos[ID Produto],TB_Produtos[Preço por unidade])</f>
        <v>450</v>
      </c>
      <c r="G43" s="59">
        <f>TB_Venddas[[#This Row],[Quantidade]]*TB_Venddas[[#This Row],[Valor unitário]]</f>
        <v>2250</v>
      </c>
      <c r="H43" s="65" t="s">
        <v>160</v>
      </c>
    </row>
    <row r="44" spans="1:8" ht="15" x14ac:dyDescent="0.35">
      <c r="A44" s="60">
        <f>MONTH(TB_Venddas[[#This Row],[Data]])</f>
        <v>4</v>
      </c>
      <c r="B44" s="72" t="s">
        <v>120</v>
      </c>
      <c r="C44" s="56" t="s">
        <v>61</v>
      </c>
      <c r="D44" s="55" t="s">
        <v>37</v>
      </c>
      <c r="E44" s="58">
        <v>3</v>
      </c>
      <c r="F44" s="57">
        <f>_xlfn.XLOOKUP(TB_Venddas[[#This Row],[Código]],TB_Produtos[ID Produto],TB_Produtos[Preço por unidade])</f>
        <v>299</v>
      </c>
      <c r="G44" s="59">
        <f>TB_Venddas[[#This Row],[Quantidade]]*TB_Venddas[[#This Row],[Valor unitário]]</f>
        <v>897</v>
      </c>
      <c r="H44" s="65" t="s">
        <v>160</v>
      </c>
    </row>
    <row r="45" spans="1:8" ht="15" x14ac:dyDescent="0.35">
      <c r="A45" s="60">
        <f>MONTH(TB_Venddas[[#This Row],[Data]])</f>
        <v>4</v>
      </c>
      <c r="B45" s="71" t="s">
        <v>120</v>
      </c>
      <c r="C45" s="54" t="s">
        <v>50</v>
      </c>
      <c r="D45" s="53" t="s">
        <v>28</v>
      </c>
      <c r="E45" s="57">
        <v>5</v>
      </c>
      <c r="F45" s="57">
        <f>_xlfn.XLOOKUP(TB_Venddas[[#This Row],[Código]],TB_Produtos[ID Produto],TB_Produtos[Preço por unidade])</f>
        <v>2299</v>
      </c>
      <c r="G45" s="59">
        <f>TB_Venddas[[#This Row],[Quantidade]]*TB_Venddas[[#This Row],[Valor unitário]]</f>
        <v>11495</v>
      </c>
      <c r="H45" s="65" t="s">
        <v>159</v>
      </c>
    </row>
    <row r="46" spans="1:8" ht="15" x14ac:dyDescent="0.35">
      <c r="A46" s="60">
        <f>MONTH(TB_Venddas[[#This Row],[Data]])</f>
        <v>4</v>
      </c>
      <c r="B46" s="72" t="s">
        <v>119</v>
      </c>
      <c r="C46" s="56" t="s">
        <v>43</v>
      </c>
      <c r="D46" s="55" t="s">
        <v>44</v>
      </c>
      <c r="E46" s="58">
        <v>3</v>
      </c>
      <c r="F46" s="57">
        <f>_xlfn.XLOOKUP(TB_Venddas[[#This Row],[Código]],TB_Produtos[ID Produto],TB_Produtos[Preço por unidade])</f>
        <v>389</v>
      </c>
      <c r="G46" s="59">
        <f>TB_Venddas[[#This Row],[Quantidade]]*TB_Venddas[[#This Row],[Valor unitário]]</f>
        <v>1167</v>
      </c>
      <c r="H46" s="65" t="s">
        <v>160</v>
      </c>
    </row>
    <row r="47" spans="1:8" ht="15" x14ac:dyDescent="0.35">
      <c r="A47" s="60">
        <f>MONTH(TB_Venddas[[#This Row],[Data]])</f>
        <v>4</v>
      </c>
      <c r="B47" s="71" t="s">
        <v>118</v>
      </c>
      <c r="C47" s="54" t="s">
        <v>79</v>
      </c>
      <c r="D47" s="53" t="s">
        <v>31</v>
      </c>
      <c r="E47" s="57">
        <v>3</v>
      </c>
      <c r="F47" s="57">
        <f>_xlfn.XLOOKUP(TB_Venddas[[#This Row],[Código]],TB_Produtos[ID Produto],TB_Produtos[Preço por unidade])</f>
        <v>149</v>
      </c>
      <c r="G47" s="59">
        <f>TB_Venddas[[#This Row],[Quantidade]]*TB_Venddas[[#This Row],[Valor unitário]]</f>
        <v>447</v>
      </c>
      <c r="H47" s="64" t="s">
        <v>158</v>
      </c>
    </row>
    <row r="48" spans="1:8" ht="15" x14ac:dyDescent="0.35">
      <c r="A48" s="60">
        <f>MONTH(TB_Venddas[[#This Row],[Data]])</f>
        <v>4</v>
      </c>
      <c r="B48" s="72" t="s">
        <v>117</v>
      </c>
      <c r="C48" s="56" t="s">
        <v>47</v>
      </c>
      <c r="D48" s="55" t="s">
        <v>31</v>
      </c>
      <c r="E48" s="58">
        <v>5</v>
      </c>
      <c r="F48" s="57">
        <f>_xlfn.XLOOKUP(TB_Venddas[[#This Row],[Código]],TB_Produtos[ID Produto],TB_Produtos[Preço por unidade])</f>
        <v>599</v>
      </c>
      <c r="G48" s="59">
        <f>TB_Venddas[[#This Row],[Quantidade]]*TB_Venddas[[#This Row],[Valor unitário]]</f>
        <v>2995</v>
      </c>
      <c r="H48" s="64" t="s">
        <v>158</v>
      </c>
    </row>
    <row r="49" spans="1:8" ht="15" x14ac:dyDescent="0.35">
      <c r="A49" s="60">
        <f>MONTH(TB_Venddas[[#This Row],[Data]])</f>
        <v>4</v>
      </c>
      <c r="B49" s="71" t="s">
        <v>116</v>
      </c>
      <c r="C49" s="54" t="s">
        <v>71</v>
      </c>
      <c r="D49" s="53" t="s">
        <v>28</v>
      </c>
      <c r="E49" s="57">
        <v>1</v>
      </c>
      <c r="F49" s="57">
        <f>_xlfn.XLOOKUP(TB_Venddas[[#This Row],[Código]],TB_Produtos[ID Produto],TB_Produtos[Preço por unidade])</f>
        <v>220</v>
      </c>
      <c r="G49" s="59">
        <f>TB_Venddas[[#This Row],[Quantidade]]*TB_Venddas[[#This Row],[Valor unitário]]</f>
        <v>220</v>
      </c>
      <c r="H49" s="64" t="s">
        <v>159</v>
      </c>
    </row>
    <row r="50" spans="1:8" ht="15" x14ac:dyDescent="0.35">
      <c r="A50" s="60">
        <f>MONTH(TB_Venddas[[#This Row],[Data]])</f>
        <v>4</v>
      </c>
      <c r="B50" s="72" t="s">
        <v>115</v>
      </c>
      <c r="C50" s="56" t="s">
        <v>61</v>
      </c>
      <c r="D50" s="55" t="s">
        <v>37</v>
      </c>
      <c r="E50" s="58">
        <v>4</v>
      </c>
      <c r="F50" s="57">
        <f>_xlfn.XLOOKUP(TB_Venddas[[#This Row],[Código]],TB_Produtos[ID Produto],TB_Produtos[Preço por unidade])</f>
        <v>299</v>
      </c>
      <c r="G50" s="59">
        <f>TB_Venddas[[#This Row],[Quantidade]]*TB_Venddas[[#This Row],[Valor unitário]]</f>
        <v>1196</v>
      </c>
      <c r="H50" s="65" t="s">
        <v>160</v>
      </c>
    </row>
    <row r="51" spans="1:8" ht="15" x14ac:dyDescent="0.35">
      <c r="A51" s="60">
        <f>MONTH(TB_Venddas[[#This Row],[Data]])</f>
        <v>4</v>
      </c>
      <c r="B51" s="71" t="s">
        <v>114</v>
      </c>
      <c r="C51" s="54" t="s">
        <v>43</v>
      </c>
      <c r="D51" s="53" t="s">
        <v>44</v>
      </c>
      <c r="E51" s="57">
        <v>1</v>
      </c>
      <c r="F51" s="57">
        <f>_xlfn.XLOOKUP(TB_Venddas[[#This Row],[Código]],TB_Produtos[ID Produto],TB_Produtos[Preço por unidade])</f>
        <v>389</v>
      </c>
      <c r="G51" s="59">
        <f>TB_Venddas[[#This Row],[Quantidade]]*TB_Venddas[[#This Row],[Valor unitário]]</f>
        <v>389</v>
      </c>
      <c r="H51" s="64" t="s">
        <v>159</v>
      </c>
    </row>
    <row r="52" spans="1:8" ht="15" x14ac:dyDescent="0.35">
      <c r="A52" s="60">
        <f>MONTH(TB_Venddas[[#This Row],[Data]])</f>
        <v>5</v>
      </c>
      <c r="B52" s="72" t="s">
        <v>113</v>
      </c>
      <c r="C52" s="56" t="s">
        <v>46</v>
      </c>
      <c r="D52" s="55" t="s">
        <v>28</v>
      </c>
      <c r="E52" s="58">
        <v>2</v>
      </c>
      <c r="F52" s="57">
        <f>_xlfn.XLOOKUP(TB_Venddas[[#This Row],[Código]],TB_Produtos[ID Produto],TB_Produtos[Preço por unidade])</f>
        <v>450</v>
      </c>
      <c r="G52" s="59">
        <f>TB_Venddas[[#This Row],[Quantidade]]*TB_Venddas[[#This Row],[Valor unitário]]</f>
        <v>900</v>
      </c>
      <c r="H52" s="65" t="s">
        <v>159</v>
      </c>
    </row>
    <row r="53" spans="1:8" ht="15" x14ac:dyDescent="0.35">
      <c r="A53" s="60">
        <f>MONTH(TB_Venddas[[#This Row],[Data]])</f>
        <v>5</v>
      </c>
      <c r="B53" s="71" t="s">
        <v>112</v>
      </c>
      <c r="C53" s="54" t="s">
        <v>75</v>
      </c>
      <c r="D53" s="53" t="s">
        <v>37</v>
      </c>
      <c r="E53" s="57">
        <v>4</v>
      </c>
      <c r="F53" s="57">
        <f>_xlfn.XLOOKUP(TB_Venddas[[#This Row],[Código]],TB_Produtos[ID Produto],TB_Produtos[Preço por unidade])</f>
        <v>159</v>
      </c>
      <c r="G53" s="59">
        <f>TB_Venddas[[#This Row],[Quantidade]]*TB_Venddas[[#This Row],[Valor unitário]]</f>
        <v>636</v>
      </c>
      <c r="H53" s="65" t="s">
        <v>159</v>
      </c>
    </row>
    <row r="54" spans="1:8" ht="15" x14ac:dyDescent="0.35">
      <c r="A54" s="60">
        <f>MONTH(TB_Venddas[[#This Row],[Data]])</f>
        <v>5</v>
      </c>
      <c r="B54" s="72" t="s">
        <v>111</v>
      </c>
      <c r="C54" s="56" t="s">
        <v>65</v>
      </c>
      <c r="D54" s="55" t="s">
        <v>44</v>
      </c>
      <c r="E54" s="58">
        <v>5</v>
      </c>
      <c r="F54" s="57">
        <f>_xlfn.XLOOKUP(TB_Venddas[[#This Row],[Código]],TB_Produtos[ID Produto],TB_Produtos[Preço por unidade])</f>
        <v>169</v>
      </c>
      <c r="G54" s="59">
        <f>TB_Venddas[[#This Row],[Quantidade]]*TB_Venddas[[#This Row],[Valor unitário]]</f>
        <v>845</v>
      </c>
      <c r="H54" s="65" t="s">
        <v>159</v>
      </c>
    </row>
    <row r="55" spans="1:8" ht="15" x14ac:dyDescent="0.35">
      <c r="A55" s="60">
        <f>MONTH(TB_Venddas[[#This Row],[Data]])</f>
        <v>5</v>
      </c>
      <c r="B55" s="71" t="s">
        <v>110</v>
      </c>
      <c r="C55" s="54" t="s">
        <v>59</v>
      </c>
      <c r="D55" s="53" t="s">
        <v>31</v>
      </c>
      <c r="E55" s="57">
        <v>1</v>
      </c>
      <c r="F55" s="57">
        <f>_xlfn.XLOOKUP(TB_Venddas[[#This Row],[Código]],TB_Produtos[ID Produto],TB_Produtos[Preço por unidade])</f>
        <v>25</v>
      </c>
      <c r="G55" s="59">
        <f>TB_Venddas[[#This Row],[Quantidade]]*TB_Venddas[[#This Row],[Valor unitário]]</f>
        <v>25</v>
      </c>
      <c r="H55" s="64" t="s">
        <v>160</v>
      </c>
    </row>
    <row r="56" spans="1:8" ht="15" x14ac:dyDescent="0.35">
      <c r="A56" s="60">
        <f>MONTH(TB_Venddas[[#This Row],[Data]])</f>
        <v>5</v>
      </c>
      <c r="B56" s="72" t="s">
        <v>110</v>
      </c>
      <c r="C56" s="56" t="s">
        <v>53</v>
      </c>
      <c r="D56" s="55" t="s">
        <v>28</v>
      </c>
      <c r="E56" s="58">
        <v>2</v>
      </c>
      <c r="F56" s="57">
        <f>_xlfn.XLOOKUP(TB_Venddas[[#This Row],[Código]],TB_Produtos[ID Produto],TB_Produtos[Preço por unidade])</f>
        <v>320</v>
      </c>
      <c r="G56" s="59">
        <f>TB_Venddas[[#This Row],[Quantidade]]*TB_Venddas[[#This Row],[Valor unitário]]</f>
        <v>640</v>
      </c>
      <c r="H56" s="64" t="s">
        <v>160</v>
      </c>
    </row>
    <row r="57" spans="1:8" ht="15" x14ac:dyDescent="0.35">
      <c r="A57" s="60">
        <f>MONTH(TB_Venddas[[#This Row],[Data]])</f>
        <v>5</v>
      </c>
      <c r="B57" s="71" t="s">
        <v>109</v>
      </c>
      <c r="C57" s="54" t="s">
        <v>63</v>
      </c>
      <c r="D57" s="53" t="s">
        <v>41</v>
      </c>
      <c r="E57" s="57">
        <v>5</v>
      </c>
      <c r="F57" s="57">
        <f>_xlfn.XLOOKUP(TB_Venddas[[#This Row],[Código]],TB_Produtos[ID Produto],TB_Produtos[Preço por unidade])</f>
        <v>279.89999999999998</v>
      </c>
      <c r="G57" s="59">
        <f>TB_Venddas[[#This Row],[Quantidade]]*TB_Venddas[[#This Row],[Valor unitário]]</f>
        <v>1399.5</v>
      </c>
      <c r="H57" s="64" t="s">
        <v>159</v>
      </c>
    </row>
    <row r="58" spans="1:8" ht="15" x14ac:dyDescent="0.35">
      <c r="A58" s="60">
        <f>MONTH(TB_Venddas[[#This Row],[Data]])</f>
        <v>5</v>
      </c>
      <c r="B58" s="72" t="s">
        <v>108</v>
      </c>
      <c r="C58" s="56" t="s">
        <v>79</v>
      </c>
      <c r="D58" s="55" t="s">
        <v>31</v>
      </c>
      <c r="E58" s="58">
        <v>1</v>
      </c>
      <c r="F58" s="57">
        <f>_xlfn.XLOOKUP(TB_Venddas[[#This Row],[Código]],TB_Produtos[ID Produto],TB_Produtos[Preço por unidade])</f>
        <v>149</v>
      </c>
      <c r="G58" s="59">
        <f>TB_Venddas[[#This Row],[Quantidade]]*TB_Venddas[[#This Row],[Valor unitário]]</f>
        <v>149</v>
      </c>
      <c r="H58" s="65" t="s">
        <v>159</v>
      </c>
    </row>
    <row r="59" spans="1:8" ht="15" x14ac:dyDescent="0.35">
      <c r="A59" s="60">
        <f>MONTH(TB_Venddas[[#This Row],[Data]])</f>
        <v>5</v>
      </c>
      <c r="B59" s="71" t="s">
        <v>107</v>
      </c>
      <c r="C59" s="54" t="s">
        <v>73</v>
      </c>
      <c r="D59" s="53" t="s">
        <v>28</v>
      </c>
      <c r="E59" s="57">
        <v>5</v>
      </c>
      <c r="F59" s="57">
        <f>_xlfn.XLOOKUP(TB_Venddas[[#This Row],[Código]],TB_Produtos[ID Produto],TB_Produtos[Preço por unidade])</f>
        <v>589</v>
      </c>
      <c r="G59" s="59">
        <f>TB_Venddas[[#This Row],[Quantidade]]*TB_Venddas[[#This Row],[Valor unitário]]</f>
        <v>2945</v>
      </c>
      <c r="H59" s="64" t="s">
        <v>160</v>
      </c>
    </row>
    <row r="60" spans="1:8" ht="15" x14ac:dyDescent="0.35">
      <c r="A60" s="60">
        <f>MONTH(TB_Venddas[[#This Row],[Data]])</f>
        <v>5</v>
      </c>
      <c r="B60" s="72" t="s">
        <v>106</v>
      </c>
      <c r="C60" s="56" t="s">
        <v>50</v>
      </c>
      <c r="D60" s="55" t="s">
        <v>28</v>
      </c>
      <c r="E60" s="58">
        <v>1</v>
      </c>
      <c r="F60" s="57">
        <f>_xlfn.XLOOKUP(TB_Venddas[[#This Row],[Código]],TB_Produtos[ID Produto],TB_Produtos[Preço por unidade])</f>
        <v>2299</v>
      </c>
      <c r="G60" s="59">
        <f>TB_Venddas[[#This Row],[Quantidade]]*TB_Venddas[[#This Row],[Valor unitário]]</f>
        <v>2299</v>
      </c>
      <c r="H60" s="65" t="s">
        <v>160</v>
      </c>
    </row>
    <row r="61" spans="1:8" ht="15" x14ac:dyDescent="0.35">
      <c r="A61" s="60">
        <f>MONTH(TB_Venddas[[#This Row],[Data]])</f>
        <v>5</v>
      </c>
      <c r="B61" s="71" t="s">
        <v>105</v>
      </c>
      <c r="C61" s="54" t="s">
        <v>65</v>
      </c>
      <c r="D61" s="53" t="s">
        <v>44</v>
      </c>
      <c r="E61" s="57">
        <v>1</v>
      </c>
      <c r="F61" s="57">
        <f>_xlfn.XLOOKUP(TB_Venddas[[#This Row],[Código]],TB_Produtos[ID Produto],TB_Produtos[Preço por unidade])</f>
        <v>169</v>
      </c>
      <c r="G61" s="59">
        <f>TB_Venddas[[#This Row],[Quantidade]]*TB_Venddas[[#This Row],[Valor unitário]]</f>
        <v>169</v>
      </c>
      <c r="H61" s="64" t="s">
        <v>160</v>
      </c>
    </row>
    <row r="62" spans="1:8" ht="15" x14ac:dyDescent="0.35">
      <c r="A62" s="60">
        <f>MONTH(TB_Venddas[[#This Row],[Data]])</f>
        <v>5</v>
      </c>
      <c r="B62" s="72" t="s">
        <v>105</v>
      </c>
      <c r="C62" s="56" t="s">
        <v>57</v>
      </c>
      <c r="D62" s="55" t="s">
        <v>31</v>
      </c>
      <c r="E62" s="58">
        <v>2</v>
      </c>
      <c r="F62" s="57">
        <f>_xlfn.XLOOKUP(TB_Venddas[[#This Row],[Código]],TB_Produtos[ID Produto],TB_Produtos[Preço por unidade])</f>
        <v>89.9</v>
      </c>
      <c r="G62" s="59">
        <f>TB_Venddas[[#This Row],[Quantidade]]*TB_Venddas[[#This Row],[Valor unitário]]</f>
        <v>179.8</v>
      </c>
      <c r="H62" s="65" t="s">
        <v>159</v>
      </c>
    </row>
    <row r="63" spans="1:8" ht="15" x14ac:dyDescent="0.35">
      <c r="A63" s="60">
        <f>MONTH(TB_Venddas[[#This Row],[Data]])</f>
        <v>5</v>
      </c>
      <c r="B63" s="71" t="s">
        <v>105</v>
      </c>
      <c r="C63" s="54" t="s">
        <v>69</v>
      </c>
      <c r="D63" s="53" t="s">
        <v>28</v>
      </c>
      <c r="E63" s="57">
        <v>1</v>
      </c>
      <c r="F63" s="57">
        <f>_xlfn.XLOOKUP(TB_Venddas[[#This Row],[Código]],TB_Produtos[ID Produto],TB_Produtos[Preço por unidade])</f>
        <v>350</v>
      </c>
      <c r="G63" s="59">
        <f>TB_Venddas[[#This Row],[Quantidade]]*TB_Venddas[[#This Row],[Valor unitário]]</f>
        <v>350</v>
      </c>
      <c r="H63" s="64" t="s">
        <v>158</v>
      </c>
    </row>
    <row r="64" spans="1:8" ht="15" x14ac:dyDescent="0.35">
      <c r="A64" s="61" t="s">
        <v>90</v>
      </c>
      <c r="E64">
        <f>SUBTOTAL(102,TB_Venddas[Quantidade])</f>
        <v>61</v>
      </c>
      <c r="G64" s="62">
        <f>SUBTOTAL(109,TB_Venddas[Total])</f>
        <v>136456.5</v>
      </c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6DCCE-346F-46AA-8D14-7DAFA6640428}">
  <dimension ref="A1:K33"/>
  <sheetViews>
    <sheetView zoomScale="61" zoomScaleNormal="100" workbookViewId="0">
      <selection activeCell="A5" sqref="A5"/>
    </sheetView>
  </sheetViews>
  <sheetFormatPr defaultRowHeight="14.4" x14ac:dyDescent="0.3"/>
  <cols>
    <col min="1" max="1" width="20.77734375" bestFit="1" customWidth="1"/>
    <col min="2" max="2" width="31.77734375" bestFit="1" customWidth="1"/>
    <col min="3" max="3" width="19.21875" bestFit="1" customWidth="1"/>
    <col min="4" max="4" width="24.44140625" bestFit="1" customWidth="1"/>
    <col min="5" max="5" width="37.44140625" style="23" bestFit="1" customWidth="1"/>
    <col min="6" max="6" width="26" style="23" bestFit="1" customWidth="1"/>
    <col min="7" max="7" width="29.88671875" style="24" bestFit="1" customWidth="1"/>
    <col min="8" max="8" width="31.5546875" style="24" bestFit="1" customWidth="1"/>
    <col min="9" max="9" width="21.109375" bestFit="1" customWidth="1"/>
    <col min="10" max="10" width="8.77734375" customWidth="1"/>
    <col min="11" max="11" width="21.5546875" customWidth="1"/>
  </cols>
  <sheetData>
    <row r="1" spans="1:11" ht="36" customHeight="1" thickTop="1" thickBot="1" x14ac:dyDescent="0.35">
      <c r="A1" s="128" t="s">
        <v>156</v>
      </c>
      <c r="B1" s="128"/>
      <c r="C1" s="128"/>
      <c r="D1" s="128"/>
      <c r="E1" s="128"/>
      <c r="F1" s="128"/>
      <c r="G1" s="128"/>
      <c r="H1" s="128"/>
      <c r="I1" s="128"/>
    </row>
    <row r="2" spans="1:11" ht="4.2" customHeight="1" thickTop="1" x14ac:dyDescent="0.3">
      <c r="A2" s="20"/>
      <c r="B2" s="20"/>
      <c r="C2" s="20"/>
      <c r="D2" s="20"/>
      <c r="E2" s="25"/>
      <c r="F2" s="25"/>
      <c r="G2" s="21"/>
      <c r="H2" s="21"/>
      <c r="I2" s="21"/>
    </row>
    <row r="3" spans="1:11" ht="24.6" customHeight="1" thickBot="1" x14ac:dyDescent="0.35">
      <c r="A3" s="44" t="s">
        <v>21</v>
      </c>
      <c r="B3" s="44" t="s">
        <v>22</v>
      </c>
      <c r="C3" s="44" t="s">
        <v>23</v>
      </c>
      <c r="D3" s="44" t="s">
        <v>24</v>
      </c>
      <c r="E3" s="44" t="s">
        <v>25</v>
      </c>
      <c r="F3" s="44" t="s">
        <v>26</v>
      </c>
      <c r="G3" s="45" t="s">
        <v>92</v>
      </c>
      <c r="H3" s="45" t="s">
        <v>91</v>
      </c>
      <c r="I3" s="46" t="s">
        <v>90</v>
      </c>
    </row>
    <row r="4" spans="1:11" ht="18" x14ac:dyDescent="0.35">
      <c r="A4" s="40" t="s">
        <v>83</v>
      </c>
      <c r="B4" s="40" t="s">
        <v>84</v>
      </c>
      <c r="C4" s="40" t="s">
        <v>37</v>
      </c>
      <c r="D4" s="40" t="s">
        <v>45</v>
      </c>
      <c r="E4" s="41">
        <v>55</v>
      </c>
      <c r="F4" s="42">
        <f>TB_Produtos[[#This Row],[Quantidade em Estoque]]</f>
        <v>55</v>
      </c>
      <c r="G4" s="43">
        <v>49.9</v>
      </c>
      <c r="H4" s="43">
        <f>TB_Produtos[[#This Row],[Preço por unidade]]-(TB_Produtos[[#This Row],[Preço por unidade]]*$K$5)</f>
        <v>44.91</v>
      </c>
      <c r="I4" s="43">
        <f>TB_Produtos[[#This Row],[Quantidade em Estoque]]*TB_Produtos[[#This Row],[Valor com desconto]]</f>
        <v>2470.0499999999997</v>
      </c>
      <c r="K4" s="51" t="s">
        <v>89</v>
      </c>
    </row>
    <row r="5" spans="1:11" ht="18.600000000000001" thickBot="1" x14ac:dyDescent="0.4">
      <c r="A5" s="40" t="s">
        <v>36</v>
      </c>
      <c r="B5" s="40" t="s">
        <v>5</v>
      </c>
      <c r="C5" s="40" t="s">
        <v>37</v>
      </c>
      <c r="D5" s="40" t="s">
        <v>38</v>
      </c>
      <c r="E5" s="41">
        <v>50</v>
      </c>
      <c r="F5" s="42">
        <f>TB_Produtos[[#This Row],[Quantidade em Estoque]]</f>
        <v>50</v>
      </c>
      <c r="G5" s="43">
        <v>89.9</v>
      </c>
      <c r="H5" s="43">
        <f>TB_Produtos[[#This Row],[Preço por unidade]]-(TB_Produtos[[#This Row],[Preço por unidade]]*$K$5)</f>
        <v>80.910000000000011</v>
      </c>
      <c r="I5" s="43">
        <f>TB_Produtos[[#This Row],[Quantidade em Estoque]]*TB_Produtos[[#This Row],[Valor com desconto]]</f>
        <v>4045.5000000000005</v>
      </c>
      <c r="K5" s="52">
        <v>0.1</v>
      </c>
    </row>
    <row r="6" spans="1:11" ht="18" x14ac:dyDescent="0.35">
      <c r="A6" s="40" t="s">
        <v>49</v>
      </c>
      <c r="B6" s="40" t="s">
        <v>12</v>
      </c>
      <c r="C6" s="40" t="s">
        <v>37</v>
      </c>
      <c r="D6" s="40" t="s">
        <v>45</v>
      </c>
      <c r="E6" s="41">
        <v>45</v>
      </c>
      <c r="F6" s="42">
        <f>TB_Produtos[[#This Row],[Quantidade em Estoque]]</f>
        <v>45</v>
      </c>
      <c r="G6" s="43">
        <v>39.9</v>
      </c>
      <c r="H6" s="43">
        <f>TB_Produtos[[#This Row],[Preço por unidade]]-(TB_Produtos[[#This Row],[Preço por unidade]]*$K$5)</f>
        <v>35.909999999999997</v>
      </c>
      <c r="I6" s="43">
        <f>TB_Produtos[[#This Row],[Quantidade em Estoque]]*TB_Produtos[[#This Row],[Valor com desconto]]</f>
        <v>1615.9499999999998</v>
      </c>
    </row>
    <row r="7" spans="1:11" ht="18" x14ac:dyDescent="0.35">
      <c r="A7" s="40" t="s">
        <v>77</v>
      </c>
      <c r="B7" s="40" t="s">
        <v>78</v>
      </c>
      <c r="C7" s="40" t="s">
        <v>37</v>
      </c>
      <c r="D7" s="40" t="s">
        <v>38</v>
      </c>
      <c r="E7" s="41">
        <v>22</v>
      </c>
      <c r="F7" s="42">
        <f>TB_Produtos[[#This Row],[Quantidade em Estoque]]</f>
        <v>22</v>
      </c>
      <c r="G7" s="43">
        <v>129.9</v>
      </c>
      <c r="H7" s="43">
        <f>TB_Produtos[[#This Row],[Preço por unidade]]-(TB_Produtos[[#This Row],[Preço por unidade]]*$K$5)</f>
        <v>116.91</v>
      </c>
      <c r="I7" s="43">
        <f>TB_Produtos[[#This Row],[Quantidade em Estoque]]*TB_Produtos[[#This Row],[Valor com desconto]]</f>
        <v>2572.02</v>
      </c>
    </row>
    <row r="8" spans="1:11" ht="18" x14ac:dyDescent="0.35">
      <c r="A8" s="40" t="s">
        <v>75</v>
      </c>
      <c r="B8" s="40" t="s">
        <v>76</v>
      </c>
      <c r="C8" s="40" t="s">
        <v>37</v>
      </c>
      <c r="D8" s="40" t="s">
        <v>38</v>
      </c>
      <c r="E8" s="41">
        <v>18</v>
      </c>
      <c r="F8" s="42">
        <f>TB_Produtos[[#This Row],[Quantidade em Estoque]]</f>
        <v>18</v>
      </c>
      <c r="G8" s="43">
        <v>159</v>
      </c>
      <c r="H8" s="43">
        <f>TB_Produtos[[#This Row],[Preço por unidade]]-(TB_Produtos[[#This Row],[Preço por unidade]]*$K$5)</f>
        <v>143.1</v>
      </c>
      <c r="I8" s="43">
        <f>TB_Produtos[[#This Row],[Quantidade em Estoque]]*TB_Produtos[[#This Row],[Valor com desconto]]</f>
        <v>2575.7999999999997</v>
      </c>
    </row>
    <row r="9" spans="1:11" ht="18" x14ac:dyDescent="0.35">
      <c r="A9" s="40" t="s">
        <v>61</v>
      </c>
      <c r="B9" s="40" t="s">
        <v>62</v>
      </c>
      <c r="C9" s="40" t="s">
        <v>37</v>
      </c>
      <c r="D9" s="40" t="s">
        <v>38</v>
      </c>
      <c r="E9" s="41">
        <v>11</v>
      </c>
      <c r="F9" s="42">
        <f>TB_Produtos[[#This Row],[Quantidade em Estoque]]</f>
        <v>11</v>
      </c>
      <c r="G9" s="43">
        <v>299</v>
      </c>
      <c r="H9" s="43">
        <f>TB_Produtos[[#This Row],[Preço por unidade]]-(TB_Produtos[[#This Row],[Preço por unidade]]*$K$5)</f>
        <v>269.10000000000002</v>
      </c>
      <c r="I9" s="43">
        <f>TB_Produtos[[#This Row],[Quantidade em Estoque]]*TB_Produtos[[#This Row],[Valor com desconto]]</f>
        <v>2960.1000000000004</v>
      </c>
    </row>
    <row r="10" spans="1:11" ht="18" x14ac:dyDescent="0.35">
      <c r="A10" s="40" t="s">
        <v>39</v>
      </c>
      <c r="B10" s="40" t="s">
        <v>6</v>
      </c>
      <c r="C10" s="40" t="s">
        <v>37</v>
      </c>
      <c r="D10" s="40" t="s">
        <v>38</v>
      </c>
      <c r="E10" s="41">
        <v>3</v>
      </c>
      <c r="F10" s="42">
        <f>TB_Produtos[[#This Row],[Quantidade em Estoque]]</f>
        <v>3</v>
      </c>
      <c r="G10" s="43">
        <v>249</v>
      </c>
      <c r="H10" s="43">
        <f>TB_Produtos[[#This Row],[Preço por unidade]]-(TB_Produtos[[#This Row],[Preço por unidade]]*$K$5)</f>
        <v>224.1</v>
      </c>
      <c r="I10" s="43">
        <f>TB_Produtos[[#This Row],[Quantidade em Estoque]]*TB_Produtos[[#This Row],[Valor com desconto]]</f>
        <v>672.3</v>
      </c>
    </row>
    <row r="11" spans="1:11" ht="18" x14ac:dyDescent="0.35">
      <c r="A11" s="40" t="s">
        <v>63</v>
      </c>
      <c r="B11" s="40" t="s">
        <v>64</v>
      </c>
      <c r="C11" s="40" t="s">
        <v>41</v>
      </c>
      <c r="D11" s="40" t="s">
        <v>42</v>
      </c>
      <c r="E11" s="41">
        <v>15</v>
      </c>
      <c r="F11" s="42">
        <f>TB_Produtos[[#This Row],[Quantidade em Estoque]]</f>
        <v>15</v>
      </c>
      <c r="G11" s="43">
        <v>279.89999999999998</v>
      </c>
      <c r="H11" s="43">
        <f>TB_Produtos[[#This Row],[Preço por unidade]]-(TB_Produtos[[#This Row],[Preço por unidade]]*$K$5)</f>
        <v>251.90999999999997</v>
      </c>
      <c r="I11" s="43">
        <f>TB_Produtos[[#This Row],[Quantidade em Estoque]]*TB_Produtos[[#This Row],[Valor com desconto]]</f>
        <v>3778.6499999999996</v>
      </c>
    </row>
    <row r="12" spans="1:11" ht="18" x14ac:dyDescent="0.35">
      <c r="A12" s="40" t="s">
        <v>81</v>
      </c>
      <c r="B12" s="40" t="s">
        <v>82</v>
      </c>
      <c r="C12" s="40" t="s">
        <v>41</v>
      </c>
      <c r="D12" s="40" t="s">
        <v>32</v>
      </c>
      <c r="E12" s="41">
        <v>9</v>
      </c>
      <c r="F12" s="42">
        <f>TB_Produtos[[#This Row],[Quantidade em Estoque]]</f>
        <v>9</v>
      </c>
      <c r="G12" s="43">
        <v>349</v>
      </c>
      <c r="H12" s="43">
        <f>TB_Produtos[[#This Row],[Preço por unidade]]-(TB_Produtos[[#This Row],[Preço por unidade]]*$K$5)</f>
        <v>314.10000000000002</v>
      </c>
      <c r="I12" s="43">
        <f>TB_Produtos[[#This Row],[Quantidade em Estoque]]*TB_Produtos[[#This Row],[Valor com desconto]]</f>
        <v>2826.9</v>
      </c>
    </row>
    <row r="13" spans="1:11" ht="18" x14ac:dyDescent="0.35">
      <c r="A13" s="40" t="s">
        <v>48</v>
      </c>
      <c r="B13" s="40" t="s">
        <v>11</v>
      </c>
      <c r="C13" s="40" t="s">
        <v>41</v>
      </c>
      <c r="D13" s="40" t="s">
        <v>42</v>
      </c>
      <c r="E13" s="41">
        <v>5</v>
      </c>
      <c r="F13" s="42">
        <f>TB_Produtos[[#This Row],[Quantidade em Estoque]]</f>
        <v>5</v>
      </c>
      <c r="G13" s="43">
        <v>199</v>
      </c>
      <c r="H13" s="43">
        <f>TB_Produtos[[#This Row],[Preço por unidade]]-(TB_Produtos[[#This Row],[Preço por unidade]]*$K$5)</f>
        <v>179.1</v>
      </c>
      <c r="I13" s="43">
        <f>TB_Produtos[[#This Row],[Quantidade em Estoque]]*TB_Produtos[[#This Row],[Valor com desconto]]</f>
        <v>895.5</v>
      </c>
    </row>
    <row r="14" spans="1:11" ht="18" x14ac:dyDescent="0.35">
      <c r="A14" s="40" t="s">
        <v>40</v>
      </c>
      <c r="B14" s="40" t="s">
        <v>7</v>
      </c>
      <c r="C14" s="40" t="s">
        <v>41</v>
      </c>
      <c r="D14" s="40" t="s">
        <v>42</v>
      </c>
      <c r="E14" s="41">
        <v>0</v>
      </c>
      <c r="F14" s="42">
        <f>TB_Produtos[[#This Row],[Quantidade em Estoque]]</f>
        <v>0</v>
      </c>
      <c r="G14" s="43">
        <v>159.9</v>
      </c>
      <c r="H14" s="43">
        <f>TB_Produtos[[#This Row],[Preço por unidade]]-(TB_Produtos[[#This Row],[Preço por unidade]]*$K$5)</f>
        <v>143.91</v>
      </c>
      <c r="I14" s="43">
        <f>TB_Produtos[[#This Row],[Quantidade em Estoque]]*TB_Produtos[[#This Row],[Valor com desconto]]</f>
        <v>0</v>
      </c>
    </row>
    <row r="15" spans="1:11" ht="18" x14ac:dyDescent="0.35">
      <c r="A15" s="40" t="s">
        <v>59</v>
      </c>
      <c r="B15" s="40" t="s">
        <v>60</v>
      </c>
      <c r="C15" s="40" t="s">
        <v>31</v>
      </c>
      <c r="D15" s="40" t="s">
        <v>32</v>
      </c>
      <c r="E15" s="41">
        <v>100</v>
      </c>
      <c r="F15" s="42">
        <f>TB_Produtos[[#This Row],[Quantidade em Estoque]]</f>
        <v>100</v>
      </c>
      <c r="G15" s="43">
        <v>25</v>
      </c>
      <c r="H15" s="43">
        <f>TB_Produtos[[#This Row],[Preço por unidade]]-(TB_Produtos[[#This Row],[Preço por unidade]]*$K$5)</f>
        <v>22.5</v>
      </c>
      <c r="I15" s="43">
        <f>TB_Produtos[[#This Row],[Quantidade em Estoque]]*TB_Produtos[[#This Row],[Valor com desconto]]</f>
        <v>2250</v>
      </c>
    </row>
    <row r="16" spans="1:11" ht="18" x14ac:dyDescent="0.35">
      <c r="A16" s="40" t="s">
        <v>57</v>
      </c>
      <c r="B16" s="40" t="s">
        <v>58</v>
      </c>
      <c r="C16" s="40" t="s">
        <v>31</v>
      </c>
      <c r="D16" s="40" t="s">
        <v>32</v>
      </c>
      <c r="E16" s="41">
        <v>60</v>
      </c>
      <c r="F16" s="42">
        <f>TB_Produtos[[#This Row],[Quantidade em Estoque]]</f>
        <v>60</v>
      </c>
      <c r="G16" s="43">
        <v>89.9</v>
      </c>
      <c r="H16" s="43">
        <f>TB_Produtos[[#This Row],[Preço por unidade]]-(TB_Produtos[[#This Row],[Preço por unidade]]*$K$5)</f>
        <v>80.910000000000011</v>
      </c>
      <c r="I16" s="43">
        <f>TB_Produtos[[#This Row],[Quantidade em Estoque]]*TB_Produtos[[#This Row],[Valor com desconto]]</f>
        <v>4854.6000000000004</v>
      </c>
    </row>
    <row r="17" spans="1:9" ht="18" x14ac:dyDescent="0.35">
      <c r="A17" s="40" t="s">
        <v>79</v>
      </c>
      <c r="B17" s="40" t="s">
        <v>80</v>
      </c>
      <c r="C17" s="40" t="s">
        <v>31</v>
      </c>
      <c r="D17" s="40" t="s">
        <v>32</v>
      </c>
      <c r="E17" s="41">
        <v>14</v>
      </c>
      <c r="F17" s="42">
        <f>TB_Produtos[[#This Row],[Quantidade em Estoque]]</f>
        <v>14</v>
      </c>
      <c r="G17" s="43">
        <v>149</v>
      </c>
      <c r="H17" s="43">
        <f>TB_Produtos[[#This Row],[Preço por unidade]]-(TB_Produtos[[#This Row],[Preço por unidade]]*$K$5)</f>
        <v>134.1</v>
      </c>
      <c r="I17" s="43">
        <f>TB_Produtos[[#This Row],[Quantidade em Estoque]]*TB_Produtos[[#This Row],[Valor com desconto]]</f>
        <v>1877.3999999999999</v>
      </c>
    </row>
    <row r="18" spans="1:9" ht="18" x14ac:dyDescent="0.35">
      <c r="A18" s="40" t="s">
        <v>47</v>
      </c>
      <c r="B18" s="40" t="s">
        <v>10</v>
      </c>
      <c r="C18" s="40" t="s">
        <v>31</v>
      </c>
      <c r="D18" s="40" t="s">
        <v>32</v>
      </c>
      <c r="E18" s="41">
        <v>14</v>
      </c>
      <c r="F18" s="42">
        <f>TB_Produtos[[#This Row],[Quantidade em Estoque]]</f>
        <v>14</v>
      </c>
      <c r="G18" s="43">
        <v>599</v>
      </c>
      <c r="H18" s="43">
        <f>TB_Produtos[[#This Row],[Preço por unidade]]-(TB_Produtos[[#This Row],[Preço por unidade]]*$K$5)</f>
        <v>539.1</v>
      </c>
      <c r="I18" s="43">
        <f>TB_Produtos[[#This Row],[Quantidade em Estoque]]*TB_Produtos[[#This Row],[Valor com desconto]]</f>
        <v>7547.4000000000005</v>
      </c>
    </row>
    <row r="19" spans="1:9" ht="18" x14ac:dyDescent="0.35">
      <c r="A19" s="40" t="s">
        <v>30</v>
      </c>
      <c r="B19" s="40" t="s">
        <v>3</v>
      </c>
      <c r="C19" s="40" t="s">
        <v>31</v>
      </c>
      <c r="D19" s="40" t="s">
        <v>32</v>
      </c>
      <c r="E19" s="41">
        <v>8</v>
      </c>
      <c r="F19" s="42">
        <f>TB_Produtos[[#This Row],[Quantidade em Estoque]]</f>
        <v>8</v>
      </c>
      <c r="G19" s="43">
        <v>2599</v>
      </c>
      <c r="H19" s="43">
        <f>TB_Produtos[[#This Row],[Preço por unidade]]-(TB_Produtos[[#This Row],[Preço por unidade]]*$K$5)</f>
        <v>2339.1</v>
      </c>
      <c r="I19" s="43">
        <f>TB_Produtos[[#This Row],[Quantidade em Estoque]]*TB_Produtos[[#This Row],[Valor com desconto]]</f>
        <v>18712.8</v>
      </c>
    </row>
    <row r="20" spans="1:9" ht="18" x14ac:dyDescent="0.35">
      <c r="A20" s="40" t="s">
        <v>55</v>
      </c>
      <c r="B20" s="40" t="s">
        <v>56</v>
      </c>
      <c r="C20" s="40" t="s">
        <v>28</v>
      </c>
      <c r="D20" s="40" t="s">
        <v>35</v>
      </c>
      <c r="E20" s="41">
        <v>40</v>
      </c>
      <c r="F20" s="42">
        <f>TB_Produtos[[#This Row],[Quantidade em Estoque]]</f>
        <v>40</v>
      </c>
      <c r="G20" s="43">
        <v>399</v>
      </c>
      <c r="H20" s="43">
        <f>TB_Produtos[[#This Row],[Preço por unidade]]-(TB_Produtos[[#This Row],[Preço por unidade]]*$K$5)</f>
        <v>359.1</v>
      </c>
      <c r="I20" s="43">
        <f>TB_Produtos[[#This Row],[Quantidade em Estoque]]*TB_Produtos[[#This Row],[Valor com desconto]]</f>
        <v>14364</v>
      </c>
    </row>
    <row r="21" spans="1:9" ht="18" x14ac:dyDescent="0.35">
      <c r="A21" s="40" t="s">
        <v>46</v>
      </c>
      <c r="B21" s="40" t="s">
        <v>9</v>
      </c>
      <c r="C21" s="40" t="s">
        <v>28</v>
      </c>
      <c r="D21" s="40" t="s">
        <v>29</v>
      </c>
      <c r="E21" s="41">
        <v>30</v>
      </c>
      <c r="F21" s="42">
        <f>TB_Produtos[[#This Row],[Quantidade em Estoque]]</f>
        <v>30</v>
      </c>
      <c r="G21" s="43">
        <v>450</v>
      </c>
      <c r="H21" s="43">
        <f>TB_Produtos[[#This Row],[Preço por unidade]]-(TB_Produtos[[#This Row],[Preço por unidade]]*$K$5)</f>
        <v>405</v>
      </c>
      <c r="I21" s="43">
        <f>TB_Produtos[[#This Row],[Quantidade em Estoque]]*TB_Produtos[[#This Row],[Valor com desconto]]</f>
        <v>12150</v>
      </c>
    </row>
    <row r="22" spans="1:9" ht="18" x14ac:dyDescent="0.35">
      <c r="A22" s="40" t="s">
        <v>53</v>
      </c>
      <c r="B22" s="40" t="s">
        <v>54</v>
      </c>
      <c r="C22" s="40" t="s">
        <v>28</v>
      </c>
      <c r="D22" s="40" t="s">
        <v>29</v>
      </c>
      <c r="E22" s="41">
        <v>25</v>
      </c>
      <c r="F22" s="42">
        <f>TB_Produtos[[#This Row],[Quantidade em Estoque]]</f>
        <v>25</v>
      </c>
      <c r="G22" s="43">
        <v>320</v>
      </c>
      <c r="H22" s="43">
        <f>TB_Produtos[[#This Row],[Preço por unidade]]-(TB_Produtos[[#This Row],[Preço por unidade]]*$K$5)</f>
        <v>288</v>
      </c>
      <c r="I22" s="43">
        <f>TB_Produtos[[#This Row],[Quantidade em Estoque]]*TB_Produtos[[#This Row],[Valor com desconto]]</f>
        <v>7200</v>
      </c>
    </row>
    <row r="23" spans="1:9" ht="18" x14ac:dyDescent="0.35">
      <c r="A23" s="40" t="s">
        <v>27</v>
      </c>
      <c r="B23" s="40" t="s">
        <v>2</v>
      </c>
      <c r="C23" s="40" t="s">
        <v>28</v>
      </c>
      <c r="D23" s="40" t="s">
        <v>29</v>
      </c>
      <c r="E23" s="41">
        <v>15</v>
      </c>
      <c r="F23" s="42">
        <f>TB_Produtos[[#This Row],[Quantidade em Estoque]]</f>
        <v>15</v>
      </c>
      <c r="G23" s="43">
        <v>3499</v>
      </c>
      <c r="H23" s="43">
        <f>TB_Produtos[[#This Row],[Preço por unidade]]-(TB_Produtos[[#This Row],[Preço por unidade]]*$K$5)</f>
        <v>3149.1</v>
      </c>
      <c r="I23" s="43">
        <f>TB_Produtos[[#This Row],[Quantidade em Estoque]]*TB_Produtos[[#This Row],[Valor com desconto]]</f>
        <v>47236.5</v>
      </c>
    </row>
    <row r="24" spans="1:9" ht="18" x14ac:dyDescent="0.35">
      <c r="A24" s="40" t="s">
        <v>71</v>
      </c>
      <c r="B24" s="40" t="s">
        <v>72</v>
      </c>
      <c r="C24" s="40" t="s">
        <v>28</v>
      </c>
      <c r="D24" s="40" t="s">
        <v>35</v>
      </c>
      <c r="E24" s="41">
        <v>13</v>
      </c>
      <c r="F24" s="42">
        <f>TB_Produtos[[#This Row],[Quantidade em Estoque]]</f>
        <v>13</v>
      </c>
      <c r="G24" s="43">
        <v>220</v>
      </c>
      <c r="H24" s="43">
        <f>TB_Produtos[[#This Row],[Preço por unidade]]-(TB_Produtos[[#This Row],[Preço por unidade]]*$K$5)</f>
        <v>198</v>
      </c>
      <c r="I24" s="43">
        <f>TB_Produtos[[#This Row],[Quantidade em Estoque]]*TB_Produtos[[#This Row],[Valor com desconto]]</f>
        <v>2574</v>
      </c>
    </row>
    <row r="25" spans="1:9" ht="18" x14ac:dyDescent="0.35">
      <c r="A25" s="40" t="s">
        <v>51</v>
      </c>
      <c r="B25" s="40" t="s">
        <v>52</v>
      </c>
      <c r="C25" s="40" t="s">
        <v>28</v>
      </c>
      <c r="D25" s="40" t="s">
        <v>29</v>
      </c>
      <c r="E25" s="41">
        <v>7</v>
      </c>
      <c r="F25" s="42">
        <f>TB_Produtos[[#This Row],[Quantidade em Estoque]]</f>
        <v>7</v>
      </c>
      <c r="G25" s="43">
        <v>1199</v>
      </c>
      <c r="H25" s="43">
        <f>TB_Produtos[[#This Row],[Preço por unidade]]-(TB_Produtos[[#This Row],[Preço por unidade]]*$K$5)</f>
        <v>1079.0999999999999</v>
      </c>
      <c r="I25" s="43">
        <f>TB_Produtos[[#This Row],[Quantidade em Estoque]]*TB_Produtos[[#This Row],[Valor com desconto]]</f>
        <v>7553.6999999999989</v>
      </c>
    </row>
    <row r="26" spans="1:9" ht="18" x14ac:dyDescent="0.35">
      <c r="A26" s="40" t="s">
        <v>69</v>
      </c>
      <c r="B26" s="40" t="s">
        <v>70</v>
      </c>
      <c r="C26" s="40" t="s">
        <v>28</v>
      </c>
      <c r="D26" s="40" t="s">
        <v>35</v>
      </c>
      <c r="E26" s="41">
        <v>6</v>
      </c>
      <c r="F26" s="42">
        <f>TB_Produtos[[#This Row],[Quantidade em Estoque]]</f>
        <v>6</v>
      </c>
      <c r="G26" s="43">
        <v>350</v>
      </c>
      <c r="H26" s="43">
        <f>TB_Produtos[[#This Row],[Preço por unidade]]-(TB_Produtos[[#This Row],[Preço por unidade]]*$K$5)</f>
        <v>315</v>
      </c>
      <c r="I26" s="43">
        <f>TB_Produtos[[#This Row],[Quantidade em Estoque]]*TB_Produtos[[#This Row],[Valor com desconto]]</f>
        <v>1890</v>
      </c>
    </row>
    <row r="27" spans="1:9" ht="18" x14ac:dyDescent="0.35">
      <c r="A27" s="40" t="s">
        <v>50</v>
      </c>
      <c r="B27" s="40" t="s">
        <v>13</v>
      </c>
      <c r="C27" s="40" t="s">
        <v>28</v>
      </c>
      <c r="D27" s="40" t="s">
        <v>35</v>
      </c>
      <c r="E27" s="41">
        <v>2</v>
      </c>
      <c r="F27" s="42">
        <f>TB_Produtos[[#This Row],[Quantidade em Estoque]]</f>
        <v>2</v>
      </c>
      <c r="G27" s="43">
        <v>2299</v>
      </c>
      <c r="H27" s="43">
        <f>TB_Produtos[[#This Row],[Preço por unidade]]-(TB_Produtos[[#This Row],[Preço por unidade]]*$K$5)</f>
        <v>2069.1</v>
      </c>
      <c r="I27" s="43">
        <f>TB_Produtos[[#This Row],[Quantidade em Estoque]]*TB_Produtos[[#This Row],[Valor com desconto]]</f>
        <v>4138.2</v>
      </c>
    </row>
    <row r="28" spans="1:9" ht="18" x14ac:dyDescent="0.35">
      <c r="A28" s="40" t="s">
        <v>73</v>
      </c>
      <c r="B28" s="40" t="s">
        <v>74</v>
      </c>
      <c r="C28" s="40" t="s">
        <v>28</v>
      </c>
      <c r="D28" s="40" t="s">
        <v>29</v>
      </c>
      <c r="E28" s="41">
        <v>1</v>
      </c>
      <c r="F28" s="42">
        <f>TB_Produtos[[#This Row],[Quantidade em Estoque]]</f>
        <v>1</v>
      </c>
      <c r="G28" s="43">
        <v>589</v>
      </c>
      <c r="H28" s="43">
        <f>TB_Produtos[[#This Row],[Preço por unidade]]-(TB_Produtos[[#This Row],[Preço por unidade]]*$K$5)</f>
        <v>530.1</v>
      </c>
      <c r="I28" s="43">
        <f>TB_Produtos[[#This Row],[Quantidade em Estoque]]*TB_Produtos[[#This Row],[Valor com desconto]]</f>
        <v>530.1</v>
      </c>
    </row>
    <row r="29" spans="1:9" ht="18" x14ac:dyDescent="0.35">
      <c r="A29" s="40" t="s">
        <v>33</v>
      </c>
      <c r="B29" s="40" t="s">
        <v>4</v>
      </c>
      <c r="C29" s="40" t="s">
        <v>34</v>
      </c>
      <c r="D29" s="40" t="s">
        <v>35</v>
      </c>
      <c r="E29" s="41">
        <v>22</v>
      </c>
      <c r="F29" s="42">
        <f>TB_Produtos[[#This Row],[Quantidade em Estoque]]</f>
        <v>22</v>
      </c>
      <c r="G29" s="43">
        <v>1450</v>
      </c>
      <c r="H29" s="43">
        <f>TB_Produtos[[#This Row],[Preço por unidade]]-(TB_Produtos[[#This Row],[Preço por unidade]]*$K$5)</f>
        <v>1305</v>
      </c>
      <c r="I29" s="43">
        <f>TB_Produtos[[#This Row],[Quantidade em Estoque]]*TB_Produtos[[#This Row],[Valor com desconto]]</f>
        <v>28710</v>
      </c>
    </row>
    <row r="30" spans="1:9" ht="18" x14ac:dyDescent="0.35">
      <c r="A30" s="40" t="s">
        <v>43</v>
      </c>
      <c r="B30" s="40" t="s">
        <v>8</v>
      </c>
      <c r="C30" s="40" t="s">
        <v>44</v>
      </c>
      <c r="D30" s="40" t="s">
        <v>45</v>
      </c>
      <c r="E30" s="41">
        <v>12</v>
      </c>
      <c r="F30" s="42">
        <f>TB_Produtos[[#This Row],[Quantidade em Estoque]]</f>
        <v>12</v>
      </c>
      <c r="G30" s="43">
        <v>389</v>
      </c>
      <c r="H30" s="43">
        <f>TB_Produtos[[#This Row],[Preço por unidade]]-(TB_Produtos[[#This Row],[Preço por unidade]]*$K$5)</f>
        <v>350.1</v>
      </c>
      <c r="I30" s="43">
        <f>TB_Produtos[[#This Row],[Quantidade em Estoque]]*TB_Produtos[[#This Row],[Valor com desconto]]</f>
        <v>4201.2000000000007</v>
      </c>
    </row>
    <row r="31" spans="1:9" ht="18" x14ac:dyDescent="0.35">
      <c r="A31" s="40" t="s">
        <v>65</v>
      </c>
      <c r="B31" s="40" t="s">
        <v>66</v>
      </c>
      <c r="C31" s="40" t="s">
        <v>44</v>
      </c>
      <c r="D31" s="40" t="s">
        <v>45</v>
      </c>
      <c r="E31" s="41">
        <v>8</v>
      </c>
      <c r="F31" s="42">
        <f>TB_Produtos[[#This Row],[Quantidade em Estoque]]</f>
        <v>8</v>
      </c>
      <c r="G31" s="43">
        <v>169</v>
      </c>
      <c r="H31" s="43">
        <f>TB_Produtos[[#This Row],[Preço por unidade]]-(TB_Produtos[[#This Row],[Preço por unidade]]*$K$5)</f>
        <v>152.1</v>
      </c>
      <c r="I31" s="43">
        <f>TB_Produtos[[#This Row],[Quantidade em Estoque]]*TB_Produtos[[#This Row],[Valor com desconto]]</f>
        <v>1216.8</v>
      </c>
    </row>
    <row r="32" spans="1:9" ht="18" x14ac:dyDescent="0.35">
      <c r="A32" s="40" t="s">
        <v>67</v>
      </c>
      <c r="B32" s="40" t="s">
        <v>68</v>
      </c>
      <c r="C32" s="40" t="s">
        <v>44</v>
      </c>
      <c r="D32" s="40" t="s">
        <v>45</v>
      </c>
      <c r="E32" s="41">
        <v>0</v>
      </c>
      <c r="F32" s="42">
        <f>TB_Produtos[[#This Row],[Quantidade em Estoque]]</f>
        <v>0</v>
      </c>
      <c r="G32" s="43">
        <v>99</v>
      </c>
      <c r="H32" s="43">
        <f>TB_Produtos[[#This Row],[Preço por unidade]]-(TB_Produtos[[#This Row],[Preço por unidade]]*$K$5)</f>
        <v>89.1</v>
      </c>
      <c r="I32" s="43">
        <f>TB_Produtos[[#This Row],[Quantidade em Estoque]]*TB_Produtos[[#This Row],[Valor com desconto]]</f>
        <v>0</v>
      </c>
    </row>
    <row r="33" spans="1:9" ht="25.8" customHeight="1" x14ac:dyDescent="0.3">
      <c r="A33" s="47" t="s">
        <v>90</v>
      </c>
      <c r="B33" s="48"/>
      <c r="C33" s="49"/>
      <c r="D33" s="49"/>
      <c r="E33" s="49">
        <f>SUBTOTAL(109,TB_Produtos[Quantidade em Estoque])</f>
        <v>610</v>
      </c>
      <c r="F33" s="49"/>
      <c r="G33" s="50">
        <f>SUBTOTAL(109,TB_Produtos[Preço por unidade])</f>
        <v>16898.3</v>
      </c>
      <c r="H33" s="50">
        <f>SUBTOTAL(109,TB_Produtos[Valor com desconto])</f>
        <v>15208.470000000003</v>
      </c>
      <c r="I33" s="50">
        <f>SUBTOTAL(109,TB_Produtos[Total])</f>
        <v>191419.47000000003</v>
      </c>
    </row>
  </sheetData>
  <mergeCells count="1">
    <mergeCell ref="A1:I1"/>
  </mergeCells>
  <conditionalFormatting sqref="F4:F32">
    <cfRule type="iconSet" priority="3">
      <iconSet iconSet="3Symbols" showValue="0">
        <cfvo type="percent" val="0"/>
        <cfvo type="num" val="0" gte="0"/>
        <cfvo type="num" val="50" gte="0"/>
      </iconSet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7EF43-AF9E-4F17-92B3-AD148F320180}">
  <dimension ref="A1:L7"/>
  <sheetViews>
    <sheetView zoomScale="93" workbookViewId="0">
      <selection activeCell="E23" sqref="E23"/>
    </sheetView>
  </sheetViews>
  <sheetFormatPr defaultRowHeight="14.4" x14ac:dyDescent="0.3"/>
  <cols>
    <col min="1" max="1" width="17.77734375" customWidth="1"/>
    <col min="2" max="2" width="19.44140625" customWidth="1"/>
    <col min="3" max="3" width="3.44140625" customWidth="1"/>
    <col min="6" max="6" width="17.21875" bestFit="1" customWidth="1"/>
    <col min="8" max="8" width="4.6640625" customWidth="1"/>
    <col min="9" max="11" width="13.5546875" customWidth="1"/>
    <col min="12" max="12" width="17.21875" bestFit="1" customWidth="1"/>
  </cols>
  <sheetData>
    <row r="1" spans="1:12" ht="15.6" x14ac:dyDescent="0.3">
      <c r="A1" s="66" t="s">
        <v>161</v>
      </c>
      <c r="B1" s="67" t="s">
        <v>162</v>
      </c>
      <c r="C1" s="70"/>
      <c r="D1" s="67" t="s">
        <v>164</v>
      </c>
      <c r="E1" s="67" t="s">
        <v>163</v>
      </c>
      <c r="F1" s="67" t="s">
        <v>90</v>
      </c>
      <c r="G1" s="67" t="s">
        <v>101</v>
      </c>
      <c r="I1" s="74" t="s">
        <v>23</v>
      </c>
      <c r="J1" s="74" t="s">
        <v>170</v>
      </c>
      <c r="K1" s="74" t="s">
        <v>171</v>
      </c>
      <c r="L1" s="74" t="s">
        <v>90</v>
      </c>
    </row>
    <row r="2" spans="1:12" ht="15.6" x14ac:dyDescent="0.3">
      <c r="A2" s="68" t="s">
        <v>160</v>
      </c>
      <c r="B2" s="69">
        <f>SUMIF(TB_Venddas[Vendedor],A2,TB_Venddas[Total])</f>
        <v>45861.399999999994</v>
      </c>
      <c r="C2" s="62"/>
      <c r="D2" s="26">
        <v>1</v>
      </c>
      <c r="E2" s="26" t="s">
        <v>165</v>
      </c>
      <c r="F2" s="73">
        <f>SUMIF(TB_Venddas[Mês],D2,TB_Venddas[Total])</f>
        <v>41008.400000000001</v>
      </c>
      <c r="G2" s="26">
        <f>SUMIF(TB_Venddas[Mês],D2,TB_Venddas[Quantidade])</f>
        <v>40</v>
      </c>
      <c r="I2" s="26" t="s">
        <v>37</v>
      </c>
      <c r="J2" s="75">
        <f>L2/SUM($L$2:$L$7)</f>
        <v>8.4213650504006768E-2</v>
      </c>
      <c r="K2" s="76">
        <f>1-J2</f>
        <v>0.91578634949599325</v>
      </c>
      <c r="L2" s="69">
        <f>SUMIF(TB_Venddas[Categoria],I2,TB_Venddas[Total])</f>
        <v>11491.5</v>
      </c>
    </row>
    <row r="3" spans="1:12" ht="15.6" x14ac:dyDescent="0.3">
      <c r="A3" s="68" t="s">
        <v>158</v>
      </c>
      <c r="B3" s="69">
        <f>SUMIF(TB_Venddas[Vendedor],A3,TB_Venddas[Total])</f>
        <v>33708.5</v>
      </c>
      <c r="C3" s="62"/>
      <c r="D3" s="26">
        <v>2</v>
      </c>
      <c r="E3" s="26" t="s">
        <v>166</v>
      </c>
      <c r="F3" s="73">
        <f>SUMIF(TB_Venddas[Mês],D3,TB_Venddas[Total])</f>
        <v>6008</v>
      </c>
      <c r="G3" s="26">
        <f>SUMIF(TB_Venddas[Mês],D3,TB_Venddas[Quantidade])</f>
        <v>27</v>
      </c>
      <c r="I3" s="26" t="s">
        <v>31</v>
      </c>
      <c r="J3" s="75">
        <f t="shared" ref="J3:J7" si="0">L3/SUM($L$2:$L$7)</f>
        <v>0.34131243289986191</v>
      </c>
      <c r="K3" s="76">
        <f t="shared" ref="K3:K7" si="1">1-J3</f>
        <v>0.65868756710013809</v>
      </c>
      <c r="L3" s="69">
        <f>SUMIF(TB_Venddas[Categoria],I3,TB_Venddas[Total])</f>
        <v>46574.3</v>
      </c>
    </row>
    <row r="4" spans="1:12" ht="15.6" x14ac:dyDescent="0.3">
      <c r="A4" s="68" t="s">
        <v>159</v>
      </c>
      <c r="B4" s="69">
        <f>SUMIF(TB_Venddas[Vendedor],A4,TB_Venddas[Total])</f>
        <v>56886.600000000006</v>
      </c>
      <c r="C4" s="62"/>
      <c r="D4" s="26">
        <v>3</v>
      </c>
      <c r="E4" s="26" t="s">
        <v>167</v>
      </c>
      <c r="F4" s="73">
        <f>SUMIF(TB_Venddas[Mês],D4,TB_Venddas[Total])</f>
        <v>29760.799999999999</v>
      </c>
      <c r="G4" s="26">
        <f>SUMIF(TB_Venddas[Mês],D4,TB_Venddas[Quantidade])</f>
        <v>41</v>
      </c>
      <c r="I4" s="26" t="s">
        <v>41</v>
      </c>
      <c r="J4" s="75">
        <f t="shared" si="0"/>
        <v>3.9453598765907087E-2</v>
      </c>
      <c r="K4" s="76">
        <f t="shared" si="1"/>
        <v>0.96054640123409296</v>
      </c>
      <c r="L4" s="69">
        <f>SUMIF(TB_Venddas[Categoria],I4,TB_Venddas[Total])</f>
        <v>5383.7000000000007</v>
      </c>
    </row>
    <row r="5" spans="1:12" x14ac:dyDescent="0.3">
      <c r="D5" s="26">
        <v>4</v>
      </c>
      <c r="E5" s="26" t="s">
        <v>168</v>
      </c>
      <c r="F5" s="73">
        <f>SUMIF(TB_Venddas[Mês],D5,TB_Venddas[Total])</f>
        <v>49142</v>
      </c>
      <c r="G5" s="26">
        <f>SUMIF(TB_Venddas[Mês],D5,TB_Venddas[Quantidade])</f>
        <v>54</v>
      </c>
      <c r="I5" s="26" t="s">
        <v>28</v>
      </c>
      <c r="J5" s="75">
        <f t="shared" si="0"/>
        <v>0.44917611106836247</v>
      </c>
      <c r="K5" s="76">
        <f t="shared" si="1"/>
        <v>0.55082388893163747</v>
      </c>
      <c r="L5" s="69">
        <f>SUMIF(TB_Venddas[Categoria],I5,TB_Venddas[Total])</f>
        <v>61293</v>
      </c>
    </row>
    <row r="6" spans="1:12" x14ac:dyDescent="0.3">
      <c r="D6" s="26">
        <v>5</v>
      </c>
      <c r="E6" s="26" t="s">
        <v>169</v>
      </c>
      <c r="F6" s="73">
        <f>SUMIF(TB_Venddas[Mês],D6,TB_Venddas[Total])</f>
        <v>10537.3</v>
      </c>
      <c r="G6" s="26">
        <f>SUMIF(TB_Venddas[Mês],D6,TB_Venddas[Quantidade])</f>
        <v>30</v>
      </c>
      <c r="I6" s="26" t="s">
        <v>34</v>
      </c>
      <c r="J6" s="75">
        <f t="shared" si="0"/>
        <v>5.3130484806513431E-2</v>
      </c>
      <c r="K6" s="76">
        <f t="shared" si="1"/>
        <v>0.94686951519348661</v>
      </c>
      <c r="L6" s="69">
        <f>SUMIF(TB_Venddas[Categoria],I6,TB_Venddas[Total])</f>
        <v>7250</v>
      </c>
    </row>
    <row r="7" spans="1:12" x14ac:dyDescent="0.3">
      <c r="I7" s="26" t="s">
        <v>44</v>
      </c>
      <c r="J7" s="75">
        <f t="shared" si="0"/>
        <v>3.2713721955348406E-2</v>
      </c>
      <c r="K7" s="76">
        <f t="shared" si="1"/>
        <v>0.96728627804465162</v>
      </c>
      <c r="L7" s="69">
        <f>SUMIF(TB_Venddas[Categoria],I7,TB_Venddas[Total])</f>
        <v>4464</v>
      </c>
    </row>
  </sheetData>
  <phoneticPr fontId="2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E8287-76EB-4905-B080-83FFBAD0A33E}">
  <dimension ref="B1:H18"/>
  <sheetViews>
    <sheetView workbookViewId="0">
      <selection activeCell="D22" sqref="D22"/>
    </sheetView>
  </sheetViews>
  <sheetFormatPr defaultRowHeight="14.4" x14ac:dyDescent="0.3"/>
  <cols>
    <col min="2" max="2" width="26" bestFit="1" customWidth="1"/>
    <col min="3" max="3" width="22.77734375" bestFit="1" customWidth="1"/>
    <col min="4" max="4" width="22.77734375" customWidth="1"/>
    <col min="5" max="5" width="30" bestFit="1" customWidth="1"/>
    <col min="6" max="6" width="28.33203125" bestFit="1" customWidth="1"/>
    <col min="7" max="7" width="18.33203125" bestFit="1" customWidth="1"/>
    <col min="8" max="8" width="14.21875" bestFit="1" customWidth="1"/>
  </cols>
  <sheetData>
    <row r="1" spans="2:8" ht="27.6" customHeight="1" x14ac:dyDescent="0.3">
      <c r="B1" s="133" t="s">
        <v>15</v>
      </c>
      <c r="C1" s="133"/>
      <c r="D1" s="133"/>
      <c r="E1" s="133"/>
      <c r="F1" s="133"/>
      <c r="G1" s="133"/>
      <c r="H1" s="133"/>
    </row>
    <row r="2" spans="2:8" ht="4.2" customHeight="1" thickBot="1" x14ac:dyDescent="0.35">
      <c r="B2" s="129"/>
      <c r="C2" s="129"/>
      <c r="D2" s="129"/>
      <c r="E2" s="129"/>
      <c r="F2" s="129"/>
      <c r="G2" s="129"/>
      <c r="H2" s="20"/>
    </row>
    <row r="3" spans="2:8" ht="22.2" customHeight="1" x14ac:dyDescent="0.3">
      <c r="B3" s="1" t="s">
        <v>14</v>
      </c>
      <c r="C3" s="2" t="s">
        <v>18</v>
      </c>
      <c r="D3" s="2" t="s">
        <v>20</v>
      </c>
      <c r="E3" s="2" t="s">
        <v>0</v>
      </c>
      <c r="F3" s="2" t="s">
        <v>1</v>
      </c>
      <c r="G3" s="2" t="s">
        <v>16</v>
      </c>
      <c r="H3" s="3" t="s">
        <v>17</v>
      </c>
    </row>
    <row r="4" spans="2:8" ht="15.6" x14ac:dyDescent="0.3">
      <c r="B4" s="5" t="s">
        <v>2</v>
      </c>
      <c r="C4" s="6">
        <v>15</v>
      </c>
      <c r="D4" s="6"/>
      <c r="E4" s="7">
        <v>2500</v>
      </c>
      <c r="F4" s="8">
        <v>3499</v>
      </c>
      <c r="G4" s="9">
        <f t="shared" ref="G4:G16" si="0">C4*F4</f>
        <v>52485</v>
      </c>
      <c r="H4" s="10">
        <f t="shared" ref="H4:H16" si="1">G4-(C4*E4)</f>
        <v>14985</v>
      </c>
    </row>
    <row r="5" spans="2:8" ht="15.6" x14ac:dyDescent="0.3">
      <c r="B5" s="5" t="s">
        <v>3</v>
      </c>
      <c r="C5" s="6">
        <v>8</v>
      </c>
      <c r="D5" s="6"/>
      <c r="E5" s="7">
        <v>1800</v>
      </c>
      <c r="F5" s="8">
        <v>2599</v>
      </c>
      <c r="G5" s="9">
        <f t="shared" si="0"/>
        <v>20792</v>
      </c>
      <c r="H5" s="10">
        <f t="shared" si="1"/>
        <v>6392</v>
      </c>
    </row>
    <row r="6" spans="2:8" ht="15.6" x14ac:dyDescent="0.3">
      <c r="B6" s="5" t="s">
        <v>4</v>
      </c>
      <c r="C6" s="6">
        <v>22</v>
      </c>
      <c r="D6" s="6"/>
      <c r="E6" s="7">
        <v>950</v>
      </c>
      <c r="F6" s="8">
        <v>1450</v>
      </c>
      <c r="G6" s="9">
        <f t="shared" si="0"/>
        <v>31900</v>
      </c>
      <c r="H6" s="10">
        <f t="shared" si="1"/>
        <v>11000</v>
      </c>
    </row>
    <row r="7" spans="2:8" ht="15.6" x14ac:dyDescent="0.3">
      <c r="B7" s="5" t="s">
        <v>5</v>
      </c>
      <c r="C7" s="6">
        <v>50</v>
      </c>
      <c r="D7" s="6"/>
      <c r="E7" s="7">
        <v>45</v>
      </c>
      <c r="F7" s="8">
        <v>89.9</v>
      </c>
      <c r="G7" s="9">
        <f t="shared" si="0"/>
        <v>4495</v>
      </c>
      <c r="H7" s="10">
        <f t="shared" si="1"/>
        <v>2245</v>
      </c>
    </row>
    <row r="8" spans="2:8" ht="15.6" x14ac:dyDescent="0.3">
      <c r="B8" s="5" t="s">
        <v>6</v>
      </c>
      <c r="C8" s="6">
        <v>3</v>
      </c>
      <c r="D8" s="6"/>
      <c r="E8" s="7">
        <v>120</v>
      </c>
      <c r="F8" s="8">
        <v>249</v>
      </c>
      <c r="G8" s="9">
        <f t="shared" si="0"/>
        <v>747</v>
      </c>
      <c r="H8" s="10">
        <f t="shared" si="1"/>
        <v>387</v>
      </c>
    </row>
    <row r="9" spans="2:8" ht="15.6" x14ac:dyDescent="0.3">
      <c r="B9" s="5" t="s">
        <v>7</v>
      </c>
      <c r="C9" s="6">
        <v>0</v>
      </c>
      <c r="D9" s="6"/>
      <c r="E9" s="7">
        <v>75</v>
      </c>
      <c r="F9" s="8">
        <v>159.9</v>
      </c>
      <c r="G9" s="9">
        <f t="shared" si="0"/>
        <v>0</v>
      </c>
      <c r="H9" s="10">
        <f t="shared" si="1"/>
        <v>0</v>
      </c>
    </row>
    <row r="10" spans="2:8" ht="15.6" x14ac:dyDescent="0.3">
      <c r="B10" s="5" t="s">
        <v>8</v>
      </c>
      <c r="C10" s="6">
        <v>12</v>
      </c>
      <c r="D10" s="6"/>
      <c r="E10" s="7">
        <v>210</v>
      </c>
      <c r="F10" s="8">
        <v>389</v>
      </c>
      <c r="G10" s="9">
        <f t="shared" si="0"/>
        <v>4668</v>
      </c>
      <c r="H10" s="10">
        <f t="shared" si="1"/>
        <v>2148</v>
      </c>
    </row>
    <row r="11" spans="2:8" ht="15.6" x14ac:dyDescent="0.3">
      <c r="B11" s="5" t="s">
        <v>9</v>
      </c>
      <c r="C11" s="6">
        <v>30</v>
      </c>
      <c r="D11" s="6"/>
      <c r="E11" s="7">
        <v>280</v>
      </c>
      <c r="F11" s="8">
        <v>450</v>
      </c>
      <c r="G11" s="9">
        <f t="shared" si="0"/>
        <v>13500</v>
      </c>
      <c r="H11" s="10">
        <f t="shared" si="1"/>
        <v>5100</v>
      </c>
    </row>
    <row r="12" spans="2:8" ht="15.6" x14ac:dyDescent="0.3">
      <c r="B12" s="5" t="s">
        <v>10</v>
      </c>
      <c r="C12" s="6">
        <v>14</v>
      </c>
      <c r="D12" s="6"/>
      <c r="E12" s="7">
        <v>320</v>
      </c>
      <c r="F12" s="8">
        <v>599</v>
      </c>
      <c r="G12" s="9">
        <f t="shared" si="0"/>
        <v>8386</v>
      </c>
      <c r="H12" s="10">
        <f t="shared" si="1"/>
        <v>3906</v>
      </c>
    </row>
    <row r="13" spans="2:8" ht="15.6" x14ac:dyDescent="0.3">
      <c r="B13" s="5" t="s">
        <v>11</v>
      </c>
      <c r="C13" s="6">
        <v>5</v>
      </c>
      <c r="D13" s="6"/>
      <c r="E13" s="7">
        <v>110</v>
      </c>
      <c r="F13" s="8">
        <v>199</v>
      </c>
      <c r="G13" s="9">
        <f t="shared" si="0"/>
        <v>995</v>
      </c>
      <c r="H13" s="10">
        <f t="shared" si="1"/>
        <v>445</v>
      </c>
    </row>
    <row r="14" spans="2:8" ht="15.6" x14ac:dyDescent="0.3">
      <c r="B14" s="5" t="s">
        <v>12</v>
      </c>
      <c r="C14" s="6">
        <v>45</v>
      </c>
      <c r="D14" s="6"/>
      <c r="E14" s="7">
        <v>15</v>
      </c>
      <c r="F14" s="8">
        <v>39.9</v>
      </c>
      <c r="G14" s="9">
        <f t="shared" si="0"/>
        <v>1795.5</v>
      </c>
      <c r="H14" s="10">
        <f t="shared" si="1"/>
        <v>1120.5</v>
      </c>
    </row>
    <row r="15" spans="2:8" ht="15.6" x14ac:dyDescent="0.3">
      <c r="B15" s="5"/>
      <c r="C15" s="6"/>
      <c r="D15" s="6"/>
      <c r="E15" s="7"/>
      <c r="F15" s="8"/>
      <c r="G15" s="9"/>
      <c r="H15" s="10"/>
    </row>
    <row r="16" spans="2:8" ht="16.2" thickBot="1" x14ac:dyDescent="0.35">
      <c r="B16" s="11" t="s">
        <v>13</v>
      </c>
      <c r="C16" s="12">
        <v>2</v>
      </c>
      <c r="D16" s="12"/>
      <c r="E16" s="13">
        <v>1650</v>
      </c>
      <c r="F16" s="14">
        <v>2299</v>
      </c>
      <c r="G16" s="15">
        <f t="shared" si="0"/>
        <v>4598</v>
      </c>
      <c r="H16" s="16">
        <f t="shared" si="1"/>
        <v>1298</v>
      </c>
    </row>
    <row r="17" spans="2:8" ht="4.2" customHeight="1" thickBot="1" x14ac:dyDescent="0.35">
      <c r="B17" s="130"/>
      <c r="C17" s="130"/>
      <c r="D17" s="130"/>
      <c r="E17" s="130"/>
      <c r="F17" s="130"/>
      <c r="G17" s="130"/>
      <c r="H17" s="4"/>
    </row>
    <row r="18" spans="2:8" ht="18.600000000000001" thickBot="1" x14ac:dyDescent="0.4">
      <c r="B18" s="131" t="s">
        <v>19</v>
      </c>
      <c r="C18" s="132"/>
      <c r="D18" s="22"/>
      <c r="E18" s="18">
        <f>SUM(E4:E16)</f>
        <v>8075</v>
      </c>
      <c r="F18" s="17">
        <f t="shared" ref="F18:H18" si="2">SUM(F4:F16)</f>
        <v>12022.699999999999</v>
      </c>
      <c r="G18" s="17">
        <f t="shared" si="2"/>
        <v>144361.5</v>
      </c>
      <c r="H18" s="19">
        <f t="shared" si="2"/>
        <v>49026.5</v>
      </c>
    </row>
  </sheetData>
  <autoFilter ref="B3:H16" xr:uid="{BBBE8287-76EB-4905-B080-83FFBAD0A33E}"/>
  <mergeCells count="4">
    <mergeCell ref="B2:G2"/>
    <mergeCell ref="B17:G17"/>
    <mergeCell ref="B18:C18"/>
    <mergeCell ref="B1:H1"/>
  </mergeCells>
  <conditionalFormatting sqref="C4:C16">
    <cfRule type="cellIs" dxfId="2" priority="2" operator="lessThan">
      <formula>5</formula>
    </cfRule>
  </conditionalFormatting>
  <conditionalFormatting sqref="D4:D16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83848-1A10-4324-8FF2-557792678170}">
  <dimension ref="B1:H6"/>
  <sheetViews>
    <sheetView workbookViewId="0">
      <selection activeCell="E15" sqref="E15"/>
    </sheetView>
  </sheetViews>
  <sheetFormatPr defaultRowHeight="14.4" x14ac:dyDescent="0.3"/>
  <cols>
    <col min="2" max="4" width="20.5546875" customWidth="1"/>
    <col min="5" max="5" width="9" customWidth="1"/>
    <col min="6" max="6" width="23" customWidth="1"/>
    <col min="7" max="9" width="20.5546875" customWidth="1"/>
  </cols>
  <sheetData>
    <row r="1" spans="2:8" ht="32.4" customHeight="1" thickBot="1" x14ac:dyDescent="0.35">
      <c r="B1" s="138" t="s">
        <v>94</v>
      </c>
      <c r="C1" s="138"/>
      <c r="D1" s="138"/>
      <c r="E1" s="138"/>
      <c r="F1" s="138"/>
      <c r="G1" s="138"/>
      <c r="H1" s="138"/>
    </row>
    <row r="2" spans="2:8" ht="31.2" thickTop="1" thickBot="1" x14ac:dyDescent="0.35">
      <c r="B2" s="134" t="s">
        <v>93</v>
      </c>
      <c r="C2" s="134"/>
      <c r="D2" s="134"/>
      <c r="F2" s="135" t="s">
        <v>84</v>
      </c>
      <c r="G2" s="136"/>
      <c r="H2" s="137"/>
    </row>
    <row r="3" spans="2:8" ht="21.6" thickTop="1" x14ac:dyDescent="0.3">
      <c r="B3" s="39" t="s">
        <v>85</v>
      </c>
      <c r="C3" s="39" t="s">
        <v>86</v>
      </c>
      <c r="D3" s="39" t="s">
        <v>87</v>
      </c>
      <c r="F3" s="39" t="s">
        <v>85</v>
      </c>
      <c r="G3" s="39" t="s">
        <v>88</v>
      </c>
      <c r="H3" s="39" t="s">
        <v>87</v>
      </c>
    </row>
    <row r="4" spans="2:8" ht="55.8" customHeight="1" x14ac:dyDescent="0.3">
      <c r="B4" s="36">
        <f>COUNTIF(TB_Produtos[Quantidade em Estoque],"&gt;0")</f>
        <v>27</v>
      </c>
      <c r="C4" s="36">
        <f>SUM(TB_Produtos[Quantidade em Estoque])</f>
        <v>610</v>
      </c>
      <c r="D4" s="37">
        <f>AVERAGE(TB_Produtos[Quantidade em Estoque])</f>
        <v>21.03448275862069</v>
      </c>
      <c r="F4" s="38">
        <f>COUNTIF(TB_Produtos[Nome do Produto],F2)</f>
        <v>1</v>
      </c>
      <c r="G4" s="38">
        <f>SUMIF(TB_Produtos[Nome do Produto], F2,TB_Produtos[Quantidade em Estoque])</f>
        <v>55</v>
      </c>
      <c r="H4" s="38">
        <f>AVERAGEIF(TB_Produtos[Nome do Produto],F2,TB_Produtos[Quantidade em Estoque])</f>
        <v>55</v>
      </c>
    </row>
    <row r="5" spans="2:8" ht="14.4" customHeight="1" x14ac:dyDescent="0.3">
      <c r="B5" s="27"/>
      <c r="C5" s="27"/>
      <c r="D5" s="27"/>
    </row>
    <row r="6" spans="2:8" ht="15" customHeight="1" x14ac:dyDescent="0.3">
      <c r="B6" s="27"/>
      <c r="C6" s="27"/>
      <c r="D6" s="27"/>
    </row>
  </sheetData>
  <mergeCells count="3">
    <mergeCell ref="B2:D2"/>
    <mergeCell ref="F2:H2"/>
    <mergeCell ref="B1:H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A91B7EAE-9706-4F56-9381-CD901FDA0F63}">
          <x14:formula1>
            <xm:f>Tabela_produtos!$B$4:$B$32</xm:f>
          </x14:formula1>
          <xm:sqref>F2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193AC-8A1D-465A-BDE5-BBE7F6347ACB}">
  <sheetPr>
    <pageSetUpPr autoPageBreaks="0"/>
  </sheetPr>
  <dimension ref="C1:CI64"/>
  <sheetViews>
    <sheetView showGridLines="0" tabSelected="1" zoomScale="72" zoomScaleNormal="72" zoomScalePageLayoutView="81" workbookViewId="0">
      <selection activeCell="CT13" sqref="CT13"/>
    </sheetView>
  </sheetViews>
  <sheetFormatPr defaultColWidth="2.109375" defaultRowHeight="9" customHeight="1" x14ac:dyDescent="0.3"/>
  <cols>
    <col min="1" max="1" width="2.109375" customWidth="1"/>
    <col min="37" max="37" width="2.109375" customWidth="1"/>
    <col min="39" max="40" width="2.109375" customWidth="1"/>
    <col min="56" max="56" width="7" bestFit="1" customWidth="1"/>
  </cols>
  <sheetData>
    <row r="1" spans="3:87" ht="9" customHeight="1" thickBot="1" x14ac:dyDescent="0.35"/>
    <row r="2" spans="3:87" ht="14.4" customHeight="1" x14ac:dyDescent="0.3">
      <c r="W2" s="101" t="s">
        <v>99</v>
      </c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3"/>
      <c r="AQ2" s="101" t="s">
        <v>98</v>
      </c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3"/>
      <c r="BK2" s="101" t="s">
        <v>97</v>
      </c>
      <c r="BL2" s="102"/>
      <c r="BM2" s="102"/>
      <c r="BN2" s="102"/>
      <c r="BO2" s="102"/>
      <c r="BP2" s="102"/>
      <c r="BQ2" s="102"/>
      <c r="BR2" s="102"/>
      <c r="BS2" s="102"/>
      <c r="BT2" s="102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3"/>
    </row>
    <row r="3" spans="3:87" ht="9" customHeight="1" thickBot="1" x14ac:dyDescent="0.35">
      <c r="W3" s="104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6"/>
      <c r="AQ3" s="104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5"/>
      <c r="BF3" s="105"/>
      <c r="BG3" s="105"/>
      <c r="BH3" s="106"/>
      <c r="BK3" s="104"/>
      <c r="BL3" s="105"/>
      <c r="BM3" s="105"/>
      <c r="BN3" s="105"/>
      <c r="BO3" s="105"/>
      <c r="BP3" s="105"/>
      <c r="BQ3" s="105"/>
      <c r="BR3" s="105"/>
      <c r="BS3" s="105"/>
      <c r="BT3" s="105"/>
      <c r="BU3" s="105"/>
      <c r="BV3" s="105"/>
      <c r="BW3" s="105"/>
      <c r="BX3" s="105"/>
      <c r="BY3" s="105"/>
      <c r="BZ3" s="105"/>
      <c r="CA3" s="105"/>
      <c r="CB3" s="105"/>
      <c r="CC3" s="105"/>
      <c r="CD3" s="105"/>
      <c r="CE3" s="105"/>
      <c r="CF3" s="105"/>
      <c r="CG3" s="105"/>
      <c r="CH3" s="105"/>
      <c r="CI3" s="106"/>
    </row>
    <row r="4" spans="3:87" ht="9" customHeight="1" x14ac:dyDescent="0.3">
      <c r="W4" s="92">
        <f>COUNTA(TB_Produtos[ID Produto])</f>
        <v>29</v>
      </c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4"/>
      <c r="AQ4" s="107">
        <f>SUM(TB_Venddas[Quantidade])</f>
        <v>192</v>
      </c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9"/>
      <c r="BK4" s="79">
        <f>SUM(TB_Venddas[Total])</f>
        <v>136456.5</v>
      </c>
      <c r="BL4" s="80"/>
      <c r="BM4" s="80"/>
      <c r="BN4" s="80"/>
      <c r="BO4" s="80"/>
      <c r="BP4" s="80"/>
      <c r="BQ4" s="80"/>
      <c r="BR4" s="80"/>
      <c r="BS4" s="80"/>
      <c r="BT4" s="80"/>
      <c r="BU4" s="80"/>
      <c r="BV4" s="80"/>
      <c r="BW4" s="80"/>
      <c r="BX4" s="80"/>
      <c r="BY4" s="80"/>
      <c r="BZ4" s="80"/>
      <c r="CA4" s="80"/>
      <c r="CB4" s="80"/>
      <c r="CC4" s="80"/>
      <c r="CD4" s="80"/>
      <c r="CE4" s="80"/>
      <c r="CF4" s="80"/>
      <c r="CG4" s="80"/>
      <c r="CH4" s="80"/>
      <c r="CI4" s="81"/>
    </row>
    <row r="5" spans="3:87" ht="9" customHeight="1" x14ac:dyDescent="0.3">
      <c r="W5" s="95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7"/>
      <c r="AQ5" s="110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2"/>
      <c r="BK5" s="82"/>
      <c r="BL5" s="83"/>
      <c r="BM5" s="83"/>
      <c r="BN5" s="83"/>
      <c r="BO5" s="83"/>
      <c r="BP5" s="83"/>
      <c r="BQ5" s="83"/>
      <c r="BR5" s="83"/>
      <c r="BS5" s="83"/>
      <c r="BT5" s="83"/>
      <c r="BU5" s="83"/>
      <c r="BV5" s="83"/>
      <c r="BW5" s="83"/>
      <c r="BX5" s="83"/>
      <c r="BY5" s="83"/>
      <c r="BZ5" s="83"/>
      <c r="CA5" s="83"/>
      <c r="CB5" s="83"/>
      <c r="CC5" s="83"/>
      <c r="CD5" s="83"/>
      <c r="CE5" s="83"/>
      <c r="CF5" s="83"/>
      <c r="CG5" s="83"/>
      <c r="CH5" s="83"/>
      <c r="CI5" s="84"/>
    </row>
    <row r="6" spans="3:87" ht="9" customHeight="1" x14ac:dyDescent="0.3">
      <c r="W6" s="95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7"/>
      <c r="AQ6" s="110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111"/>
      <c r="BH6" s="112"/>
      <c r="BK6" s="82"/>
      <c r="BL6" s="83"/>
      <c r="BM6" s="83"/>
      <c r="BN6" s="83"/>
      <c r="BO6" s="83"/>
      <c r="BP6" s="83"/>
      <c r="BQ6" s="83"/>
      <c r="BR6" s="83"/>
      <c r="BS6" s="83"/>
      <c r="BT6" s="83"/>
      <c r="BU6" s="83"/>
      <c r="BV6" s="83"/>
      <c r="BW6" s="83"/>
      <c r="BX6" s="83"/>
      <c r="BY6" s="83"/>
      <c r="BZ6" s="83"/>
      <c r="CA6" s="83"/>
      <c r="CB6" s="83"/>
      <c r="CC6" s="83"/>
      <c r="CD6" s="83"/>
      <c r="CE6" s="83"/>
      <c r="CF6" s="83"/>
      <c r="CG6" s="83"/>
      <c r="CH6" s="83"/>
      <c r="CI6" s="84"/>
    </row>
    <row r="7" spans="3:87" ht="9" customHeight="1" thickBot="1" x14ac:dyDescent="0.35">
      <c r="W7" s="98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100"/>
      <c r="AQ7" s="113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4"/>
      <c r="BF7" s="114"/>
      <c r="BG7" s="114"/>
      <c r="BH7" s="115"/>
      <c r="BK7" s="85"/>
      <c r="BL7" s="86"/>
      <c r="BM7" s="86"/>
      <c r="BN7" s="86"/>
      <c r="BO7" s="86"/>
      <c r="BP7" s="86"/>
      <c r="BQ7" s="86"/>
      <c r="BR7" s="86"/>
      <c r="BS7" s="86"/>
      <c r="BT7" s="86"/>
      <c r="BU7" s="86"/>
      <c r="BV7" s="86"/>
      <c r="BW7" s="86"/>
      <c r="BX7" s="86"/>
      <c r="BY7" s="86"/>
      <c r="BZ7" s="86"/>
      <c r="CA7" s="86"/>
      <c r="CB7" s="86"/>
      <c r="CC7" s="86"/>
      <c r="CD7" s="86"/>
      <c r="CE7" s="86"/>
      <c r="CF7" s="86"/>
      <c r="CG7" s="86"/>
      <c r="CH7" s="86"/>
      <c r="CI7" s="87"/>
    </row>
    <row r="8" spans="3:87" ht="38.4" customHeight="1" thickBot="1" x14ac:dyDescent="0.35"/>
    <row r="9" spans="3:87" ht="16.2" customHeight="1" x14ac:dyDescent="0.3">
      <c r="C9" s="101" t="s">
        <v>96</v>
      </c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  <c r="BM9" s="102"/>
      <c r="BN9" s="102"/>
      <c r="BO9" s="102"/>
      <c r="BP9" s="102"/>
      <c r="BQ9" s="102"/>
      <c r="BR9" s="102"/>
      <c r="BS9" s="102"/>
      <c r="BT9" s="102"/>
      <c r="BU9" s="102"/>
      <c r="BV9" s="102"/>
      <c r="BW9" s="102"/>
      <c r="BX9" s="102"/>
      <c r="BY9" s="102"/>
      <c r="BZ9" s="102"/>
      <c r="CA9" s="102"/>
      <c r="CB9" s="102"/>
      <c r="CC9" s="102"/>
      <c r="CD9" s="102"/>
      <c r="CE9" s="102"/>
      <c r="CF9" s="102"/>
      <c r="CG9" s="102"/>
      <c r="CH9" s="102"/>
      <c r="CI9" s="103"/>
    </row>
    <row r="10" spans="3:87" ht="9" customHeight="1" thickBot="1" x14ac:dyDescent="0.35">
      <c r="C10" s="104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5"/>
      <c r="BL10" s="105"/>
      <c r="BM10" s="105"/>
      <c r="BN10" s="105"/>
      <c r="BO10" s="105"/>
      <c r="BP10" s="105"/>
      <c r="BQ10" s="105"/>
      <c r="BR10" s="105"/>
      <c r="BS10" s="105"/>
      <c r="BT10" s="105"/>
      <c r="BU10" s="105"/>
      <c r="BV10" s="105"/>
      <c r="BW10" s="105"/>
      <c r="BX10" s="105"/>
      <c r="BY10" s="105"/>
      <c r="BZ10" s="105"/>
      <c r="CA10" s="105"/>
      <c r="CB10" s="105"/>
      <c r="CC10" s="105"/>
      <c r="CD10" s="105"/>
      <c r="CE10" s="105"/>
      <c r="CF10" s="105"/>
      <c r="CG10" s="105"/>
      <c r="CH10" s="105"/>
      <c r="CI10" s="106"/>
    </row>
    <row r="11" spans="3:87" ht="9" customHeight="1" x14ac:dyDescent="0.3">
      <c r="C11" s="116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17"/>
      <c r="BF11" s="117"/>
      <c r="BG11" s="117"/>
      <c r="BH11" s="117"/>
      <c r="BI11" s="117"/>
      <c r="BJ11" s="117"/>
      <c r="BK11" s="117"/>
      <c r="BL11" s="117"/>
      <c r="BM11" s="117"/>
      <c r="BN11" s="117"/>
      <c r="BO11" s="117"/>
      <c r="BP11" s="117"/>
      <c r="BQ11" s="117"/>
      <c r="BR11" s="117"/>
      <c r="BS11" s="117"/>
      <c r="BT11" s="117"/>
      <c r="BU11" s="117"/>
      <c r="BV11" s="117"/>
      <c r="BW11" s="117"/>
      <c r="BX11" s="117"/>
      <c r="BY11" s="117"/>
      <c r="BZ11" s="117"/>
      <c r="CA11" s="117"/>
      <c r="CB11" s="117"/>
      <c r="CC11" s="117"/>
      <c r="CD11" s="117"/>
      <c r="CE11" s="117"/>
      <c r="CF11" s="117"/>
      <c r="CG11" s="117"/>
      <c r="CH11" s="117"/>
      <c r="CI11" s="118"/>
    </row>
    <row r="12" spans="3:87" ht="9" customHeight="1" x14ac:dyDescent="0.3">
      <c r="C12" s="119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120"/>
      <c r="BG12" s="120"/>
      <c r="BH12" s="120"/>
      <c r="BI12" s="120"/>
      <c r="BJ12" s="120"/>
      <c r="BK12" s="120"/>
      <c r="BL12" s="120"/>
      <c r="BM12" s="120"/>
      <c r="BN12" s="120"/>
      <c r="BO12" s="120"/>
      <c r="BP12" s="120"/>
      <c r="BQ12" s="120"/>
      <c r="BR12" s="120"/>
      <c r="BS12" s="120"/>
      <c r="BT12" s="120"/>
      <c r="BU12" s="120"/>
      <c r="BV12" s="120"/>
      <c r="BW12" s="120"/>
      <c r="BX12" s="120"/>
      <c r="BY12" s="120"/>
      <c r="BZ12" s="120"/>
      <c r="CA12" s="120"/>
      <c r="CB12" s="120"/>
      <c r="CC12" s="120"/>
      <c r="CD12" s="120"/>
      <c r="CE12" s="120"/>
      <c r="CF12" s="120"/>
      <c r="CG12" s="120"/>
      <c r="CH12" s="120"/>
      <c r="CI12" s="121"/>
    </row>
    <row r="13" spans="3:87" ht="9" customHeight="1" x14ac:dyDescent="0.3">
      <c r="C13" s="119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120"/>
      <c r="BG13" s="120"/>
      <c r="BH13" s="120"/>
      <c r="BI13" s="120"/>
      <c r="BJ13" s="120"/>
      <c r="BK13" s="120"/>
      <c r="BL13" s="120"/>
      <c r="BM13" s="120"/>
      <c r="BN13" s="120"/>
      <c r="BO13" s="120"/>
      <c r="BP13" s="120"/>
      <c r="BQ13" s="120"/>
      <c r="BR13" s="120"/>
      <c r="BS13" s="120"/>
      <c r="BT13" s="120"/>
      <c r="BU13" s="120"/>
      <c r="BV13" s="120"/>
      <c r="BW13" s="120"/>
      <c r="BX13" s="120"/>
      <c r="BY13" s="120"/>
      <c r="BZ13" s="120"/>
      <c r="CA13" s="120"/>
      <c r="CB13" s="120"/>
      <c r="CC13" s="120"/>
      <c r="CD13" s="120"/>
      <c r="CE13" s="120"/>
      <c r="CF13" s="120"/>
      <c r="CG13" s="120"/>
      <c r="CH13" s="120"/>
      <c r="CI13" s="121"/>
    </row>
    <row r="14" spans="3:87" ht="9" customHeight="1" x14ac:dyDescent="0.3">
      <c r="C14" s="119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120"/>
      <c r="BG14" s="120"/>
      <c r="BH14" s="120"/>
      <c r="BI14" s="120"/>
      <c r="BJ14" s="120"/>
      <c r="BK14" s="120"/>
      <c r="BL14" s="120"/>
      <c r="BM14" s="120"/>
      <c r="BN14" s="120"/>
      <c r="BO14" s="120"/>
      <c r="BP14" s="120"/>
      <c r="BQ14" s="120"/>
      <c r="BR14" s="120"/>
      <c r="BS14" s="120"/>
      <c r="BT14" s="120"/>
      <c r="BU14" s="120"/>
      <c r="BV14" s="120"/>
      <c r="BW14" s="120"/>
      <c r="BX14" s="120"/>
      <c r="BY14" s="120"/>
      <c r="BZ14" s="120"/>
      <c r="CA14" s="120"/>
      <c r="CB14" s="120"/>
      <c r="CC14" s="120"/>
      <c r="CD14" s="120"/>
      <c r="CE14" s="120"/>
      <c r="CF14" s="120"/>
      <c r="CG14" s="120"/>
      <c r="CH14" s="120"/>
      <c r="CI14" s="121"/>
    </row>
    <row r="15" spans="3:87" ht="9" customHeight="1" x14ac:dyDescent="0.3">
      <c r="C15" s="119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  <c r="BU15" s="120"/>
      <c r="BV15" s="120"/>
      <c r="BW15" s="120"/>
      <c r="BX15" s="120"/>
      <c r="BY15" s="120"/>
      <c r="BZ15" s="120"/>
      <c r="CA15" s="120"/>
      <c r="CB15" s="120"/>
      <c r="CC15" s="120"/>
      <c r="CD15" s="120"/>
      <c r="CE15" s="120"/>
      <c r="CF15" s="120"/>
      <c r="CG15" s="120"/>
      <c r="CH15" s="120"/>
      <c r="CI15" s="121"/>
    </row>
    <row r="16" spans="3:87" ht="9" customHeight="1" x14ac:dyDescent="0.3">
      <c r="C16" s="119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120"/>
      <c r="BG16" s="120"/>
      <c r="BH16" s="120"/>
      <c r="BI16" s="120"/>
      <c r="BJ16" s="120"/>
      <c r="BK16" s="120"/>
      <c r="BL16" s="120"/>
      <c r="BM16" s="120"/>
      <c r="BN16" s="120"/>
      <c r="BO16" s="120"/>
      <c r="BP16" s="120"/>
      <c r="BQ16" s="120"/>
      <c r="BR16" s="120"/>
      <c r="BS16" s="120"/>
      <c r="BT16" s="120"/>
      <c r="BU16" s="120"/>
      <c r="BV16" s="120"/>
      <c r="BW16" s="120"/>
      <c r="BX16" s="120"/>
      <c r="BY16" s="120"/>
      <c r="BZ16" s="120"/>
      <c r="CA16" s="120"/>
      <c r="CB16" s="120"/>
      <c r="CC16" s="120"/>
      <c r="CD16" s="120"/>
      <c r="CE16" s="120"/>
      <c r="CF16" s="120"/>
      <c r="CG16" s="120"/>
      <c r="CH16" s="120"/>
      <c r="CI16" s="121"/>
    </row>
    <row r="17" spans="3:87" ht="9" customHeight="1" x14ac:dyDescent="0.3">
      <c r="C17" s="119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  <c r="BD17" s="120"/>
      <c r="BE17" s="120"/>
      <c r="BF17" s="120"/>
      <c r="BG17" s="120"/>
      <c r="BH17" s="120"/>
      <c r="BI17" s="120"/>
      <c r="BJ17" s="120"/>
      <c r="BK17" s="120"/>
      <c r="BL17" s="120"/>
      <c r="BM17" s="120"/>
      <c r="BN17" s="120"/>
      <c r="BO17" s="120"/>
      <c r="BP17" s="120"/>
      <c r="BQ17" s="120"/>
      <c r="BR17" s="120"/>
      <c r="BS17" s="120"/>
      <c r="BT17" s="120"/>
      <c r="BU17" s="120"/>
      <c r="BV17" s="120"/>
      <c r="BW17" s="120"/>
      <c r="BX17" s="120"/>
      <c r="BY17" s="120"/>
      <c r="BZ17" s="120"/>
      <c r="CA17" s="120"/>
      <c r="CB17" s="120"/>
      <c r="CC17" s="120"/>
      <c r="CD17" s="120"/>
      <c r="CE17" s="120"/>
      <c r="CF17" s="120"/>
      <c r="CG17" s="120"/>
      <c r="CH17" s="120"/>
      <c r="CI17" s="121"/>
    </row>
    <row r="18" spans="3:87" ht="9" customHeight="1" x14ac:dyDescent="0.3">
      <c r="C18" s="119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0"/>
      <c r="AT18" s="120"/>
      <c r="AU18" s="120"/>
      <c r="AV18" s="120"/>
      <c r="AW18" s="120"/>
      <c r="AX18" s="120"/>
      <c r="AY18" s="120"/>
      <c r="AZ18" s="120"/>
      <c r="BA18" s="120"/>
      <c r="BB18" s="120"/>
      <c r="BC18" s="120"/>
      <c r="BD18" s="120"/>
      <c r="BE18" s="120"/>
      <c r="BF18" s="120"/>
      <c r="BG18" s="120"/>
      <c r="BH18" s="120"/>
      <c r="BI18" s="120"/>
      <c r="BJ18" s="120"/>
      <c r="BK18" s="120"/>
      <c r="BL18" s="120"/>
      <c r="BM18" s="120"/>
      <c r="BN18" s="120"/>
      <c r="BO18" s="120"/>
      <c r="BP18" s="120"/>
      <c r="BQ18" s="120"/>
      <c r="BR18" s="120"/>
      <c r="BS18" s="120"/>
      <c r="BT18" s="120"/>
      <c r="BU18" s="120"/>
      <c r="BV18" s="120"/>
      <c r="BW18" s="120"/>
      <c r="BX18" s="120"/>
      <c r="BY18" s="120"/>
      <c r="BZ18" s="120"/>
      <c r="CA18" s="120"/>
      <c r="CB18" s="120"/>
      <c r="CC18" s="120"/>
      <c r="CD18" s="120"/>
      <c r="CE18" s="120"/>
      <c r="CF18" s="120"/>
      <c r="CG18" s="120"/>
      <c r="CH18" s="120"/>
      <c r="CI18" s="121"/>
    </row>
    <row r="19" spans="3:87" ht="9" customHeight="1" x14ac:dyDescent="0.3">
      <c r="C19" s="119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0"/>
      <c r="BD19" s="120"/>
      <c r="BE19" s="120"/>
      <c r="BF19" s="120"/>
      <c r="BG19" s="120"/>
      <c r="BH19" s="120"/>
      <c r="BI19" s="120"/>
      <c r="BJ19" s="120"/>
      <c r="BK19" s="120"/>
      <c r="BL19" s="120"/>
      <c r="BM19" s="120"/>
      <c r="BN19" s="120"/>
      <c r="BO19" s="120"/>
      <c r="BP19" s="120"/>
      <c r="BQ19" s="120"/>
      <c r="BR19" s="120"/>
      <c r="BS19" s="120"/>
      <c r="BT19" s="120"/>
      <c r="BU19" s="120"/>
      <c r="BV19" s="120"/>
      <c r="BW19" s="120"/>
      <c r="BX19" s="120"/>
      <c r="BY19" s="120"/>
      <c r="BZ19" s="120"/>
      <c r="CA19" s="120"/>
      <c r="CB19" s="120"/>
      <c r="CC19" s="120"/>
      <c r="CD19" s="120"/>
      <c r="CE19" s="120"/>
      <c r="CF19" s="120"/>
      <c r="CG19" s="120"/>
      <c r="CH19" s="120"/>
      <c r="CI19" s="121"/>
    </row>
    <row r="20" spans="3:87" ht="9" customHeight="1" x14ac:dyDescent="0.3">
      <c r="C20" s="119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120"/>
      <c r="AY20" s="120"/>
      <c r="AZ20" s="120"/>
      <c r="BA20" s="120"/>
      <c r="BB20" s="120"/>
      <c r="BC20" s="120"/>
      <c r="BD20" s="120"/>
      <c r="BE20" s="120"/>
      <c r="BF20" s="120"/>
      <c r="BG20" s="120"/>
      <c r="BH20" s="120"/>
      <c r="BI20" s="120"/>
      <c r="BJ20" s="120"/>
      <c r="BK20" s="120"/>
      <c r="BL20" s="120"/>
      <c r="BM20" s="120"/>
      <c r="BN20" s="120"/>
      <c r="BO20" s="120"/>
      <c r="BP20" s="120"/>
      <c r="BQ20" s="120"/>
      <c r="BR20" s="120"/>
      <c r="BS20" s="120"/>
      <c r="BT20" s="120"/>
      <c r="BU20" s="120"/>
      <c r="BV20" s="120"/>
      <c r="BW20" s="120"/>
      <c r="BX20" s="120"/>
      <c r="BY20" s="120"/>
      <c r="BZ20" s="120"/>
      <c r="CA20" s="120"/>
      <c r="CB20" s="120"/>
      <c r="CC20" s="120"/>
      <c r="CD20" s="120"/>
      <c r="CE20" s="120"/>
      <c r="CF20" s="120"/>
      <c r="CG20" s="120"/>
      <c r="CH20" s="120"/>
      <c r="CI20" s="121"/>
    </row>
    <row r="21" spans="3:87" ht="9" customHeight="1" x14ac:dyDescent="0.3">
      <c r="C21" s="119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0"/>
      <c r="AV21" s="120"/>
      <c r="AW21" s="120"/>
      <c r="AX21" s="120"/>
      <c r="AY21" s="120"/>
      <c r="AZ21" s="120"/>
      <c r="BA21" s="120"/>
      <c r="BB21" s="120"/>
      <c r="BC21" s="120"/>
      <c r="BD21" s="120"/>
      <c r="BE21" s="120"/>
      <c r="BF21" s="120"/>
      <c r="BG21" s="120"/>
      <c r="BH21" s="120"/>
      <c r="BI21" s="120"/>
      <c r="BJ21" s="120"/>
      <c r="BK21" s="120"/>
      <c r="BL21" s="120"/>
      <c r="BM21" s="120"/>
      <c r="BN21" s="120"/>
      <c r="BO21" s="120"/>
      <c r="BP21" s="120"/>
      <c r="BQ21" s="120"/>
      <c r="BR21" s="120"/>
      <c r="BS21" s="120"/>
      <c r="BT21" s="120"/>
      <c r="BU21" s="120"/>
      <c r="BV21" s="120"/>
      <c r="BW21" s="120"/>
      <c r="BX21" s="120"/>
      <c r="BY21" s="120"/>
      <c r="BZ21" s="120"/>
      <c r="CA21" s="120"/>
      <c r="CB21" s="120"/>
      <c r="CC21" s="120"/>
      <c r="CD21" s="120"/>
      <c r="CE21" s="120"/>
      <c r="CF21" s="120"/>
      <c r="CG21" s="120"/>
      <c r="CH21" s="120"/>
      <c r="CI21" s="121"/>
    </row>
    <row r="22" spans="3:87" ht="9" customHeight="1" x14ac:dyDescent="0.3">
      <c r="C22" s="119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  <c r="BF22" s="120"/>
      <c r="BG22" s="120"/>
      <c r="BH22" s="120"/>
      <c r="BI22" s="120"/>
      <c r="BJ22" s="120"/>
      <c r="BK22" s="120"/>
      <c r="BL22" s="120"/>
      <c r="BM22" s="120"/>
      <c r="BN22" s="120"/>
      <c r="BO22" s="120"/>
      <c r="BP22" s="120"/>
      <c r="BQ22" s="120"/>
      <c r="BR22" s="120"/>
      <c r="BS22" s="120"/>
      <c r="BT22" s="120"/>
      <c r="BU22" s="120"/>
      <c r="BV22" s="120"/>
      <c r="BW22" s="120"/>
      <c r="BX22" s="120"/>
      <c r="BY22" s="120"/>
      <c r="BZ22" s="120"/>
      <c r="CA22" s="120"/>
      <c r="CB22" s="120"/>
      <c r="CC22" s="120"/>
      <c r="CD22" s="120"/>
      <c r="CE22" s="120"/>
      <c r="CF22" s="120"/>
      <c r="CG22" s="120"/>
      <c r="CH22" s="120"/>
      <c r="CI22" s="121"/>
    </row>
    <row r="23" spans="3:87" ht="9" customHeight="1" x14ac:dyDescent="0.3">
      <c r="C23" s="119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  <c r="BF23" s="120"/>
      <c r="BG23" s="120"/>
      <c r="BH23" s="120"/>
      <c r="BI23" s="120"/>
      <c r="BJ23" s="120"/>
      <c r="BK23" s="120"/>
      <c r="BL23" s="120"/>
      <c r="BM23" s="120"/>
      <c r="BN23" s="120"/>
      <c r="BO23" s="120"/>
      <c r="BP23" s="120"/>
      <c r="BQ23" s="120"/>
      <c r="BR23" s="120"/>
      <c r="BS23" s="120"/>
      <c r="BT23" s="120"/>
      <c r="BU23" s="120"/>
      <c r="BV23" s="120"/>
      <c r="BW23" s="120"/>
      <c r="BX23" s="120"/>
      <c r="BY23" s="120"/>
      <c r="BZ23" s="120"/>
      <c r="CA23" s="120"/>
      <c r="CB23" s="120"/>
      <c r="CC23" s="120"/>
      <c r="CD23" s="120"/>
      <c r="CE23" s="120"/>
      <c r="CF23" s="120"/>
      <c r="CG23" s="120"/>
      <c r="CH23" s="120"/>
      <c r="CI23" s="121"/>
    </row>
    <row r="24" spans="3:87" ht="32.4" customHeight="1" thickBot="1" x14ac:dyDescent="0.35">
      <c r="C24" s="122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  <c r="AX24" s="123"/>
      <c r="AY24" s="123"/>
      <c r="AZ24" s="123"/>
      <c r="BA24" s="123"/>
      <c r="BB24" s="123"/>
      <c r="BC24" s="123"/>
      <c r="BD24" s="123"/>
      <c r="BE24" s="123"/>
      <c r="BF24" s="123"/>
      <c r="BG24" s="123"/>
      <c r="BH24" s="123"/>
      <c r="BI24" s="123"/>
      <c r="BJ24" s="123"/>
      <c r="BK24" s="123"/>
      <c r="BL24" s="123"/>
      <c r="BM24" s="123"/>
      <c r="BN24" s="123"/>
      <c r="BO24" s="123"/>
      <c r="BP24" s="123"/>
      <c r="BQ24" s="123"/>
      <c r="BR24" s="123"/>
      <c r="BS24" s="123"/>
      <c r="BT24" s="123"/>
      <c r="BU24" s="123"/>
      <c r="BV24" s="123"/>
      <c r="BW24" s="123"/>
      <c r="BX24" s="123"/>
      <c r="BY24" s="123"/>
      <c r="BZ24" s="123"/>
      <c r="CA24" s="123"/>
      <c r="CB24" s="123"/>
      <c r="CC24" s="123"/>
      <c r="CD24" s="123"/>
      <c r="CE24" s="123"/>
      <c r="CF24" s="123"/>
      <c r="CG24" s="123"/>
      <c r="CH24" s="123"/>
      <c r="CI24" s="124"/>
    </row>
    <row r="25" spans="3:87" ht="16.2" customHeight="1" x14ac:dyDescent="0.3"/>
    <row r="26" spans="3:87" ht="12" customHeight="1" x14ac:dyDescent="0.3">
      <c r="C26" s="88" t="s">
        <v>95</v>
      </c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V26" s="88" t="s">
        <v>172</v>
      </c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89"/>
      <c r="BN26" s="89"/>
      <c r="BO26" s="89"/>
      <c r="BP26" s="89"/>
      <c r="BQ26" s="89"/>
      <c r="BR26" s="89"/>
      <c r="BS26" s="89"/>
      <c r="BT26" s="89"/>
      <c r="BU26" s="89"/>
      <c r="BV26" s="89"/>
      <c r="BW26" s="89"/>
      <c r="BX26" s="89"/>
      <c r="BY26" s="89"/>
      <c r="BZ26" s="89"/>
      <c r="CA26" s="89"/>
      <c r="CB26" s="89"/>
      <c r="CC26" s="89"/>
      <c r="CD26" s="89"/>
      <c r="CE26" s="89"/>
      <c r="CF26" s="89"/>
      <c r="CG26" s="89"/>
      <c r="CH26" s="89"/>
      <c r="CI26" s="89"/>
    </row>
    <row r="27" spans="3:87" ht="19.8" customHeight="1" thickBot="1" x14ac:dyDescent="0.35">
      <c r="C27" s="90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V27" s="90"/>
      <c r="AW27" s="91"/>
      <c r="AX27" s="91"/>
      <c r="AY27" s="91"/>
      <c r="AZ27" s="91"/>
      <c r="BA27" s="91"/>
      <c r="BB27" s="91"/>
      <c r="BC27" s="91"/>
      <c r="BD27" s="91"/>
      <c r="BE27" s="91"/>
      <c r="BF27" s="91"/>
      <c r="BG27" s="91"/>
      <c r="BH27" s="91"/>
      <c r="BI27" s="91"/>
      <c r="BJ27" s="91"/>
      <c r="BK27" s="91"/>
      <c r="BL27" s="91"/>
      <c r="BM27" s="91"/>
      <c r="BN27" s="91"/>
      <c r="BO27" s="91"/>
      <c r="BP27" s="91"/>
      <c r="BQ27" s="91"/>
      <c r="BR27" s="91"/>
      <c r="BS27" s="91"/>
      <c r="BT27" s="91"/>
      <c r="BU27" s="91"/>
      <c r="BV27" s="91"/>
      <c r="BW27" s="91"/>
      <c r="BX27" s="91"/>
      <c r="BY27" s="91"/>
      <c r="BZ27" s="91"/>
      <c r="CA27" s="91"/>
      <c r="CB27" s="91"/>
      <c r="CC27" s="91"/>
      <c r="CD27" s="91"/>
      <c r="CE27" s="91"/>
      <c r="CF27" s="91"/>
      <c r="CG27" s="91"/>
      <c r="CH27" s="91"/>
      <c r="CI27" s="91"/>
    </row>
    <row r="28" spans="3:87" ht="9" customHeight="1" x14ac:dyDescent="0.3">
      <c r="C28" s="28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30"/>
      <c r="AV28" s="28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30"/>
    </row>
    <row r="29" spans="3:87" ht="9" customHeight="1" x14ac:dyDescent="0.3">
      <c r="C29" s="31"/>
      <c r="AS29" s="32"/>
      <c r="AV29" s="31"/>
      <c r="CI29" s="32"/>
    </row>
    <row r="30" spans="3:87" ht="9" customHeight="1" x14ac:dyDescent="0.3">
      <c r="C30" s="31"/>
      <c r="AS30" s="32"/>
      <c r="AV30" s="31"/>
      <c r="CI30" s="32"/>
    </row>
    <row r="31" spans="3:87" ht="9" customHeight="1" x14ac:dyDescent="0.3">
      <c r="C31" s="31"/>
      <c r="AS31" s="32"/>
      <c r="AV31" s="31"/>
      <c r="CI31" s="32"/>
    </row>
    <row r="32" spans="3:87" ht="9" customHeight="1" x14ac:dyDescent="0.3">
      <c r="C32" s="31"/>
      <c r="AS32" s="32"/>
      <c r="AV32" s="31"/>
      <c r="CI32" s="32"/>
    </row>
    <row r="33" spans="3:87" ht="9" customHeight="1" x14ac:dyDescent="0.3">
      <c r="C33" s="31"/>
      <c r="AS33" s="32"/>
      <c r="AV33" s="31"/>
      <c r="CI33" s="32"/>
    </row>
    <row r="34" spans="3:87" ht="9" customHeight="1" x14ac:dyDescent="0.3">
      <c r="C34" s="31"/>
      <c r="AS34" s="32"/>
      <c r="AV34" s="31"/>
      <c r="CI34" s="32"/>
    </row>
    <row r="35" spans="3:87" ht="9" customHeight="1" x14ac:dyDescent="0.3">
      <c r="C35" s="31"/>
      <c r="AS35" s="32"/>
      <c r="AV35" s="31"/>
      <c r="CI35" s="32"/>
    </row>
    <row r="36" spans="3:87" ht="9" customHeight="1" x14ac:dyDescent="0.3">
      <c r="C36" s="31"/>
      <c r="AS36" s="32"/>
      <c r="AV36" s="31"/>
      <c r="CI36" s="32"/>
    </row>
    <row r="37" spans="3:87" ht="9" customHeight="1" x14ac:dyDescent="0.3">
      <c r="C37" s="31"/>
      <c r="AS37" s="32"/>
      <c r="AV37" s="31"/>
      <c r="CI37" s="32"/>
    </row>
    <row r="38" spans="3:87" ht="9" customHeight="1" x14ac:dyDescent="0.3">
      <c r="C38" s="31"/>
      <c r="AS38" s="32"/>
      <c r="AV38" s="31"/>
      <c r="CI38" s="32"/>
    </row>
    <row r="39" spans="3:87" ht="9" customHeight="1" x14ac:dyDescent="0.3">
      <c r="C39" s="31"/>
      <c r="AS39" s="32"/>
      <c r="AV39" s="31"/>
      <c r="CI39" s="32"/>
    </row>
    <row r="40" spans="3:87" ht="9" customHeight="1" x14ac:dyDescent="0.3">
      <c r="C40" s="31"/>
      <c r="AS40" s="32"/>
      <c r="AV40" s="31"/>
      <c r="CI40" s="32"/>
    </row>
    <row r="41" spans="3:87" ht="9" customHeight="1" x14ac:dyDescent="0.3">
      <c r="C41" s="31"/>
      <c r="AS41" s="32"/>
      <c r="AV41" s="31"/>
      <c r="CI41" s="32"/>
    </row>
    <row r="42" spans="3:87" ht="9" customHeight="1" x14ac:dyDescent="0.3">
      <c r="C42" s="31"/>
      <c r="AS42" s="32"/>
      <c r="AV42" s="31"/>
      <c r="CI42" s="32"/>
    </row>
    <row r="43" spans="3:87" ht="9" customHeight="1" x14ac:dyDescent="0.3">
      <c r="C43" s="31"/>
      <c r="AS43" s="32"/>
      <c r="AV43" s="31"/>
      <c r="CI43" s="32"/>
    </row>
    <row r="44" spans="3:87" ht="9" customHeight="1" x14ac:dyDescent="0.3">
      <c r="C44" s="31"/>
      <c r="AS44" s="32"/>
      <c r="AV44" s="31"/>
      <c r="CI44" s="32"/>
    </row>
    <row r="45" spans="3:87" ht="9" customHeight="1" x14ac:dyDescent="0.3">
      <c r="C45" s="31"/>
      <c r="AS45" s="32"/>
      <c r="AV45" s="31"/>
      <c r="CI45" s="32"/>
    </row>
    <row r="46" spans="3:87" ht="9" customHeight="1" x14ac:dyDescent="0.3">
      <c r="C46" s="31"/>
      <c r="AS46" s="32"/>
      <c r="AV46" s="31"/>
      <c r="CI46" s="32"/>
    </row>
    <row r="47" spans="3:87" ht="9" customHeight="1" x14ac:dyDescent="0.3">
      <c r="C47" s="31"/>
      <c r="AS47" s="32"/>
      <c r="AV47" s="31"/>
      <c r="CI47" s="32"/>
    </row>
    <row r="48" spans="3:87" ht="9" customHeight="1" thickBot="1" x14ac:dyDescent="0.35">
      <c r="C48" s="31"/>
      <c r="AS48" s="32"/>
      <c r="AV48" s="33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5"/>
    </row>
    <row r="49" spans="3:56" ht="9" customHeight="1" x14ac:dyDescent="0.3">
      <c r="C49" s="31"/>
      <c r="AS49" s="32"/>
    </row>
    <row r="50" spans="3:56" ht="9" customHeight="1" x14ac:dyDescent="0.3">
      <c r="C50" s="31"/>
      <c r="AS50" s="32"/>
    </row>
    <row r="51" spans="3:56" ht="9" customHeight="1" x14ac:dyDescent="0.3">
      <c r="C51" s="31"/>
      <c r="AS51" s="32"/>
    </row>
    <row r="52" spans="3:56" ht="9" customHeight="1" x14ac:dyDescent="0.3">
      <c r="C52" s="31"/>
      <c r="AS52" s="32"/>
    </row>
    <row r="53" spans="3:56" ht="9" customHeight="1" x14ac:dyDescent="0.3">
      <c r="C53" s="31"/>
      <c r="AS53" s="32"/>
    </row>
    <row r="54" spans="3:56" ht="9" customHeight="1" x14ac:dyDescent="0.3">
      <c r="C54" s="31"/>
      <c r="AS54" s="32"/>
    </row>
    <row r="55" spans="3:56" ht="9" customHeight="1" x14ac:dyDescent="0.3">
      <c r="C55" s="31"/>
      <c r="AS55" s="32"/>
    </row>
    <row r="56" spans="3:56" ht="9" customHeight="1" x14ac:dyDescent="0.3">
      <c r="C56" s="31"/>
      <c r="AS56" s="32"/>
    </row>
    <row r="57" spans="3:56" ht="9" customHeight="1" x14ac:dyDescent="0.3">
      <c r="C57" s="31"/>
      <c r="AS57" s="32"/>
    </row>
    <row r="58" spans="3:56" ht="9" customHeight="1" x14ac:dyDescent="0.6">
      <c r="C58" s="31"/>
      <c r="AS58" s="32"/>
      <c r="BD58" s="77"/>
    </row>
    <row r="59" spans="3:56" ht="9" customHeight="1" x14ac:dyDescent="0.3">
      <c r="C59" s="31"/>
      <c r="AS59" s="32"/>
    </row>
    <row r="60" spans="3:56" ht="9" customHeight="1" x14ac:dyDescent="0.3">
      <c r="C60" s="31"/>
      <c r="AS60" s="32"/>
    </row>
    <row r="61" spans="3:56" ht="9" customHeight="1" x14ac:dyDescent="0.3">
      <c r="C61" s="31"/>
      <c r="AS61" s="32"/>
    </row>
    <row r="62" spans="3:56" ht="9" customHeight="1" x14ac:dyDescent="0.3">
      <c r="C62" s="31"/>
      <c r="AS62" s="32"/>
    </row>
    <row r="63" spans="3:56" ht="9" customHeight="1" x14ac:dyDescent="0.3">
      <c r="C63" s="31"/>
      <c r="AS63" s="32"/>
    </row>
    <row r="64" spans="3:56" ht="9" customHeight="1" thickBot="1" x14ac:dyDescent="0.35">
      <c r="C64" s="33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5"/>
    </row>
  </sheetData>
  <mergeCells count="10">
    <mergeCell ref="BK2:CI3"/>
    <mergeCell ref="BK4:CI7"/>
    <mergeCell ref="C26:AS27"/>
    <mergeCell ref="W4:AN7"/>
    <mergeCell ref="W2:AN3"/>
    <mergeCell ref="AQ2:BH3"/>
    <mergeCell ref="AQ4:BH7"/>
    <mergeCell ref="C11:CI24"/>
    <mergeCell ref="C9:CI10"/>
    <mergeCell ref="AV26:CI2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Gráficos</vt:lpstr>
      </vt:variant>
      <vt:variant>
        <vt:i4>1</vt:i4>
      </vt:variant>
    </vt:vector>
  </HeadingPairs>
  <TitlesOfParts>
    <vt:vector size="7" baseType="lpstr">
      <vt:lpstr>Registro de Vendas</vt:lpstr>
      <vt:lpstr>Tabela_produtos</vt:lpstr>
      <vt:lpstr>Dados para gráficos</vt:lpstr>
      <vt:lpstr>Planilha</vt:lpstr>
      <vt:lpstr>Painel</vt:lpstr>
      <vt:lpstr>Dashboard</vt:lpstr>
      <vt:lpstr>Meu Gráfico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AMÉLIA APARECIDA SIQUEIRA PIMENTA</dc:creator>
  <cp:lastModifiedBy>AMÉLIA APARECIDA SIQUEIRA PIMENTA</cp:lastModifiedBy>
  <cp:lastPrinted>2026-06-04T16:42:25Z</cp:lastPrinted>
  <dcterms:created xsi:type="dcterms:W3CDTF">2026-05-23T17:13:01Z</dcterms:created>
  <dcterms:modified xsi:type="dcterms:W3CDTF">2026-06-04T20:42:24Z</dcterms:modified>
</cp:coreProperties>
</file>